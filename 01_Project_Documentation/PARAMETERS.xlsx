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rameters" sheetId="2" state="visible" r:id="rId4"/>
    <sheet name="Derived_Calcs" sheetId="3" state="visible" r:id="rId5"/>
    <sheet name="Verific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<sst xmlns="http://schemas.openxmlformats.org/spreadsheetml/2006/main" count="626" uniqueCount="407">
  <si>
    <t xml:space="preserve">PARAMETERS.xlsx  -  Section 1 Parameter Definition</t>
  </si>
  <si>
    <t xml:space="preserve">Project: Flow Behavior and Thermal Effects in Multiphysics Systems</t>
  </si>
  <si>
    <t xml:space="preserve">Original internship: Eleation, February - May 2025</t>
  </si>
  <si>
    <t xml:space="preserve">RE-ANALYSIS NOTICE</t>
  </si>
  <si>
    <t xml:space="preserve">The original internship files were lost. A filesystem sweep on 2026-09-18 confirmed no original artefact survives.</t>
  </si>
  <si>
    <t xml:space="preserve">Every parameter in this workbook was newly selected in 2026. NONE of these are the original internship values.</t>
  </si>
  <si>
    <t xml:space="preserve">No experimental or measured data appears anywhere in this workbook. Nothing here may be presented as recovered.</t>
  </si>
  <si>
    <t xml:space="preserve">STATUS LEGEND</t>
  </si>
  <si>
    <t xml:space="preserve">Re-analysed/Assumed  -  a present-day engineering choice made because the original value is unknowable.</t>
  </si>
  <si>
    <t xml:space="preserve">Literature             -  a published material or fluid property, with the source named in column F.</t>
  </si>
  <si>
    <t xml:space="preserve">Derived                -  computed from other parameters. See the Derived_Calcs sheet for the live formula.</t>
  </si>
  <si>
    <t xml:space="preserve">Verified (this machine)-  measured by actually running the software on this computer on 2026-09-18.</t>
  </si>
  <si>
    <t xml:space="preserve">HOW TO USE</t>
  </si>
  <si>
    <t xml:space="preserve">Sheet 'Parameters'       - the full parameter table (Parameter / Value / Units / Source / Reason / Status).</t>
  </si>
  <si>
    <t xml:space="preserve">Sheet 'Derived_Calcs'    - LIVE formulas. Edit only the yellow/blue INPUT cells; everything below recomputes.</t>
  </si>
  <si>
    <t xml:space="preserve">Sheet 'Verification'     - the numbers the CFD and FEA must reproduce before any result is accepted.</t>
  </si>
  <si>
    <t xml:space="preserve">Blue text on yellow fill = an input you may edit.  Black text = a formula; do not overwrite it.</t>
  </si>
  <si>
    <t xml:space="preserve">Category</t>
  </si>
  <si>
    <t xml:space="preserve">Parameter</t>
  </si>
  <si>
    <t xml:space="preserve">Symbol</t>
  </si>
  <si>
    <t xml:space="preserve">Value</t>
  </si>
  <si>
    <t xml:space="preserve">Units</t>
  </si>
  <si>
    <t xml:space="preserve">Source / Basis</t>
  </si>
  <si>
    <t xml:space="preserve">Reason for selection</t>
  </si>
  <si>
    <t xml:space="preserve">Status</t>
  </si>
  <si>
    <t xml:space="preserve">GEOMETRY</t>
  </si>
  <si>
    <t xml:space="preserve">Inner (bore) diameter</t>
  </si>
  <si>
    <t xml:space="preserve">Di</t>
  </si>
  <si>
    <t xml:space="preserve">mm</t>
  </si>
  <si>
    <t xml:space="preserve">Re-analysed selection</t>
  </si>
  <si>
    <t xml:space="preserve">Sets the flow scale. Gives Re=30,000 at a low-subsonic air velocity and is large enough to resolve a y+~1 boundary layer without an excessive cell count.</t>
  </si>
  <si>
    <t xml:space="preserve">Re-analysed/Assumed</t>
  </si>
  <si>
    <t xml:space="preserve">Outer diameter</t>
  </si>
  <si>
    <t xml:space="preserve">Do</t>
  </si>
  <si>
    <t xml:space="preserve">Chosen so Do/Di is exactly 2, making ln(Do/Di)=ln2 and keeping the thick-walled-cylinder closed-form thermal stress solution a clean validation target.</t>
  </si>
  <si>
    <t xml:space="preserve">Wall thickness</t>
  </si>
  <si>
    <t xml:space="preserve">t</t>
  </si>
  <si>
    <t xml:space="preserve">Derived: (Do-Di)/2</t>
  </si>
  <si>
    <t xml:space="preserve">Thick enough to produce a measurable through-wall temperature gradient and a genuine 3-D conduction path, rather than a thin-shell approximation.</t>
  </si>
  <si>
    <t xml:space="preserve">Derived</t>
  </si>
  <si>
    <t xml:space="preserve">Heated length</t>
  </si>
  <si>
    <t xml:space="preserve">L</t>
  </si>
  <si>
    <t xml:space="preserve">L/D=30. The turbulent hydrodynamic entry length is ~18 D, so ~12 diameters of fully developed flow remain for correlation comparison.</t>
  </si>
  <si>
    <t xml:space="preserve">Length-to-diameter ratio</t>
  </si>
  <si>
    <t xml:space="preserve">L/Di</t>
  </si>
  <si>
    <t xml:space="preserve">-</t>
  </si>
  <si>
    <t xml:space="preserve">Long enough for fully developed flow; short enough to keep the mesh near 170k cells.</t>
  </si>
  <si>
    <t xml:space="preserve">FLUID</t>
  </si>
  <si>
    <t xml:space="preserve">Working fluid</t>
  </si>
  <si>
    <t xml:space="preserve">air</t>
  </si>
  <si>
    <t xml:space="preserve">Aerospace-relevant coolant (bleed / ram air). Well-documented properties. Deliberately a poor coolant, so metal temperature rather than air temperature drives material selection - a realistic engineering situation.</t>
  </si>
  <si>
    <t xml:space="preserve">Density model</t>
  </si>
  <si>
    <t xml:space="preserve">rho</t>
  </si>
  <si>
    <t xml:space="preserve">incompressible ideal gas</t>
  </si>
  <si>
    <t xml:space="preserve">Fluent material model</t>
  </si>
  <si>
    <t xml:space="preserve">Density falls ~29% from 300 K to 403 K, but pressure varies only 0.5%. The pressure-independent ideal gas law is therefore the correct low-Mach model; full compressibility is unnecessary.</t>
  </si>
  <si>
    <t xml:space="preserve">Inlet velocity</t>
  </si>
  <si>
    <t xml:space="preserve">V_in</t>
  </si>
  <si>
    <t xml:space="preserve">m/s</t>
  </si>
  <si>
    <t xml:space="preserve">Re-analysed selection, set to hit Re=30,000</t>
  </si>
  <si>
    <t xml:space="preserve">Places the flow solidly in the turbulent regime where Dittus-Boelter and Gnielinski are both valid (Re&gt;10^4), while keeping Mach at 0.07.</t>
  </si>
  <si>
    <t xml:space="preserve">Inlet temperature</t>
  </si>
  <si>
    <t xml:space="preserve">T_in</t>
  </si>
  <si>
    <t xml:space="preserve">K</t>
  </si>
  <si>
    <t xml:space="preserve">Standard ambient. Also used as the stress-free reference temperature, so thermal strain is measured from the as-assembled state.</t>
  </si>
  <si>
    <t xml:space="preserve">Operating pressure</t>
  </si>
  <si>
    <t xml:space="preserve">p_op</t>
  </si>
  <si>
    <t xml:space="preserve">Pa</t>
  </si>
  <si>
    <t xml:space="preserve">Standard sea-level atmosphere</t>
  </si>
  <si>
    <t xml:space="preserve">Sea-level static condition.</t>
  </si>
  <si>
    <t xml:space="preserve">Specific heat (constant)</t>
  </si>
  <si>
    <t xml:space="preserve">cp</t>
  </si>
  <si>
    <t xml:space="preserve">J/kg.K</t>
  </si>
  <si>
    <t xml:space="preserve">Incropera Table A.4, air at 1 atm</t>
  </si>
  <si>
    <t xml:space="preserve">Varies under 1.5% over 300-403 K, so a constant value is justified and simplifies the energy balance check.</t>
  </si>
  <si>
    <t xml:space="preserve">Literature</t>
  </si>
  <si>
    <t xml:space="preserve">Dynamic viscosity at 300 K</t>
  </si>
  <si>
    <t xml:space="preserve">mu</t>
  </si>
  <si>
    <t xml:space="preserve">Pa.s</t>
  </si>
  <si>
    <t xml:space="preserve">Incropera Table A.4</t>
  </si>
  <si>
    <t xml:space="preserve">Varies ~25% over the temperature range, so it is applied as temperature-dependent in Fluent.</t>
  </si>
  <si>
    <t xml:space="preserve">Thermal conductivity at 350 K</t>
  </si>
  <si>
    <t xml:space="preserve">k_air</t>
  </si>
  <si>
    <t xml:space="preserve">W/m.K</t>
  </si>
  <si>
    <t xml:space="preserve">Temperature-dependent in Fluent; the tabulated 350 K value anchors the hand calculation.</t>
  </si>
  <si>
    <t xml:space="preserve">Prandtl number at 300 K</t>
  </si>
  <si>
    <t xml:space="preserve">Pr</t>
  </si>
  <si>
    <t xml:space="preserve">Near-constant for air; within the validity range of both Nusselt correlations.</t>
  </si>
  <si>
    <t xml:space="preserve">SOLID</t>
  </si>
  <si>
    <t xml:space="preserve">Material</t>
  </si>
  <si>
    <t xml:space="preserve">Inconel 718</t>
  </si>
  <si>
    <t xml:space="preserve">Special Metals alloy datasheet</t>
  </si>
  <si>
    <t xml:space="preserve">Aerospace nickel superalloy. Its service temperature comfortably covers the computed 655 K metal temperature, and its high yield strength keeps BOTH structural load cases elastic, so a linear analysis stays valid throughout.</t>
  </si>
  <si>
    <t xml:space="preserve">Density</t>
  </si>
  <si>
    <t xml:space="preserve">rho_s</t>
  </si>
  <si>
    <t xml:space="preserve">kg/m3</t>
  </si>
  <si>
    <t xml:space="preserve">Special Metals datasheet</t>
  </si>
  <si>
    <t xml:space="preserve">Standard published value.</t>
  </si>
  <si>
    <t xml:space="preserve">Thermal conductivity at ~575 K</t>
  </si>
  <si>
    <t xml:space="preserve">k_s</t>
  </si>
  <si>
    <t xml:space="preserve">Datasheet, interpolated to metal temperature</t>
  </si>
  <si>
    <t xml:space="preserve">Deliberately low conductivity, which produces a measurable through-wall gradient rather than an isothermal wall.</t>
  </si>
  <si>
    <t xml:space="preserve">Specific heat</t>
  </si>
  <si>
    <t xml:space="preserve">cp_s</t>
  </si>
  <si>
    <t xml:space="preserve">Not used in a steady-state solution; listed for completeness and for any future transient extension.</t>
  </si>
  <si>
    <t xml:space="preserve">Young's modulus at ~555 K</t>
  </si>
  <si>
    <t xml:space="preserve">E</t>
  </si>
  <si>
    <t xml:space="preserve">Datasheet, interpolated</t>
  </si>
  <si>
    <t xml:space="preserve">Evaluated at operating temperature rather than room temperature, since stiffness falls ~8% over this range.</t>
  </si>
  <si>
    <t xml:space="preserve">Poisson's ratio</t>
  </si>
  <si>
    <t xml:space="preserve">nu</t>
  </si>
  <si>
    <t xml:space="preserve">Mean CTE from 294 K</t>
  </si>
  <si>
    <t xml:space="preserve">alpha</t>
  </si>
  <si>
    <t xml:space="preserve">1/K</t>
  </si>
  <si>
    <t xml:space="preserve">Mean (not instantaneous) CTE is the correct quantity for a total thermal strain measured from the reference temperature.</t>
  </si>
  <si>
    <t xml:space="preserve">Yield strength at ~555 K</t>
  </si>
  <si>
    <t xml:space="preserve">Sy</t>
  </si>
  <si>
    <t xml:space="preserve">Hot yield, not room-temperature yield, is the correct basis for a margin of safety at operating temperature.</t>
  </si>
  <si>
    <t xml:space="preserve">BOUNDARY</t>
  </si>
  <si>
    <t xml:space="preserve">Inlet condition</t>
  </si>
  <si>
    <t xml:space="preserve">velocity-inlet, 23.5 m/s, 300 K</t>
  </si>
  <si>
    <t xml:space="preserve">A velocity inlet fixes the mass flow exactly (inlet density is fixed by T_in and p_op), which makes the global energy balance an exact validation check.</t>
  </si>
  <si>
    <t xml:space="preserve">Inlet turbulence</t>
  </si>
  <si>
    <t xml:space="preserve">I</t>
  </si>
  <si>
    <t xml:space="preserve">%</t>
  </si>
  <si>
    <t xml:space="preserve">I = 0.16*Re^(-1/8)</t>
  </si>
  <si>
    <t xml:space="preserve">Standard empirical estimate for fully developed pipe flow; length scale set to the hydraulic diameter, 20 mm.</t>
  </si>
  <si>
    <t xml:space="preserve">Outlet condition</t>
  </si>
  <si>
    <t xml:space="preserve">pressure-outlet, 0 Pa gauge</t>
  </si>
  <si>
    <t xml:space="preserve">Static pressure outlet is the standard, well-posed choice for subsonic internal flow discharging to ambient.</t>
  </si>
  <si>
    <t xml:space="preserve">Outer cylindrical surface</t>
  </si>
  <si>
    <t xml:space="preserve">q''_o</t>
  </si>
  <si>
    <t xml:space="preserve">W/m2</t>
  </si>
  <si>
    <t xml:space="preserve">Uniform heat flux gives a linear bulk temperature rise and a constant wall-to-bulk difference in the developed region - both exactly checkable against theory. Magnitude RE-SELECTED after the correlation-validity check: 12 kW/m2 pushed the restrained case past hot yield, and that verdict flipped with the correction exponent. 8 kW/m2 keeps BOTH load cases elastic under either treatment, so the conclusion is robust.</t>
  </si>
  <si>
    <t xml:space="preserve">End annular faces</t>
  </si>
  <si>
    <t xml:space="preserve">adiabatic</t>
  </si>
  <si>
    <t xml:space="preserve">Isolates one-dimensional radial conduction and removes an arbitrary end-loss assumption that could not be justified.</t>
  </si>
  <si>
    <t xml:space="preserve">Fluid-solid interface</t>
  </si>
  <si>
    <t xml:space="preserve">coupled (conjugate)</t>
  </si>
  <si>
    <t xml:space="preserve">Fluent CHT</t>
  </si>
  <si>
    <t xml:space="preserve">Wall temperature is solved, not prescribed. This is the core of the project: the solid and fluid thermal fields are computed simultaneously.</t>
  </si>
  <si>
    <t xml:space="preserve">Reference temperature</t>
  </si>
  <si>
    <t xml:space="preserve">T_ref</t>
  </si>
  <si>
    <t xml:space="preserve">Matches inlet / assembly temperature</t>
  </si>
  <si>
    <t xml:space="preserve">Defines the stress-free state, so computed thermal strain is physically meaningful.</t>
  </si>
  <si>
    <t xml:space="preserve">Structural load case 1</t>
  </si>
  <si>
    <t xml:space="preserve">LC1</t>
  </si>
  <si>
    <t xml:space="preserve">free axial growth</t>
  </si>
  <si>
    <t xml:space="preserve">Statically determinate restraint: isolates stress caused purely by temperature GRADIENTS.</t>
  </si>
  <si>
    <t xml:space="preserve">Structural load case 2</t>
  </si>
  <si>
    <t xml:space="preserve">LC2</t>
  </si>
  <si>
    <t xml:space="preserve">both ends axially fixed</t>
  </si>
  <si>
    <t xml:space="preserve">Fully restrained growth: isolates stress caused purely by RESTRAINT. Comparing LC1 and LC2 identifies the true design driver.</t>
  </si>
  <si>
    <t xml:space="preserve">NUMERICAL</t>
  </si>
  <si>
    <t xml:space="preserve">Analysis type</t>
  </si>
  <si>
    <t xml:space="preserve">steady-state</t>
  </si>
  <si>
    <t xml:space="preserve">Boundary conditions are time-invariant and the equilibrium thermal-stress state is what is sought. Start-up transients are a separate study.</t>
  </si>
  <si>
    <t xml:space="preserve">Turbulence model</t>
  </si>
  <si>
    <t xml:space="preserve">k-omega SST</t>
  </si>
  <si>
    <t xml:space="preserve">Integrates to the wall without wall functions. Conjugate heat transfer is highly sensitive to near-wall resolution, because wall heat flux sets the solid temperature and hence the stress.</t>
  </si>
  <si>
    <t xml:space="preserve">Near-wall treatment</t>
  </si>
  <si>
    <t xml:space="preserve">y+</t>
  </si>
  <si>
    <t xml:space="preserve">&lt;= 1</t>
  </si>
  <si>
    <t xml:space="preserve">Wall-resolved. Wall functions would introduce modelling error directly into the quantity of interest.</t>
  </si>
  <si>
    <t xml:space="preserve">First cell height</t>
  </si>
  <si>
    <t xml:space="preserve">y1</t>
  </si>
  <si>
    <t xml:space="preserve">um</t>
  </si>
  <si>
    <t xml:space="preserve">Derived from Petukhov friction factor</t>
  </si>
  <si>
    <t xml:space="preserve">Sized to give y+ ~ 1 at inlet conditions, the most demanding station.</t>
  </si>
  <si>
    <t xml:space="preserve">Inflation layers</t>
  </si>
  <si>
    <t xml:space="preserve">With growth ratio 1.2 gives a 1.55 mm prism stack, about 16% of the pipe radius.</t>
  </si>
  <si>
    <t xml:space="preserve">Coupling direction</t>
  </si>
  <si>
    <t xml:space="preserve">one-way (CFD -&gt; FEA)</t>
  </si>
  <si>
    <t xml:space="preserve">Justified by deformation check</t>
  </si>
  <si>
    <t xml:space="preserve">Free thermal growth of the bore is 29 um, changing flow area by 0.6% - far below turbulence-model uncertainty on Nu (5-15%). Two-way coupling would cost 5-10x the runtime for no meaningful change.</t>
  </si>
  <si>
    <t xml:space="preserve">Target mesh size</t>
  </si>
  <si>
    <t xml:space="preserve">cells</t>
  </si>
  <si>
    <t xml:space="preserve">Derived from mesh sizing calculation</t>
  </si>
  <si>
    <t xml:space="preserve">Fits comfortably on 15.7 GB RAM and 4 cores; refined during the Section 4 mesh independence study.</t>
  </si>
  <si>
    <t xml:space="preserve">SOFTWARE</t>
  </si>
  <si>
    <t xml:space="preserve">ANSYS release</t>
  </si>
  <si>
    <t xml:space="preserve">2026 R1 (v261)</t>
  </si>
  <si>
    <t xml:space="preserve">Verified on this machine 2026-09-18</t>
  </si>
  <si>
    <t xml:space="preserve">Installed build. NOTE: the 2025 original would have used 2024 R2 / 2025 R1 - a version difference that must be disclosed.</t>
  </si>
  <si>
    <t xml:space="preserve">Verified (this machine)</t>
  </si>
  <si>
    <t xml:space="preserve">Fluent parallel limit</t>
  </si>
  <si>
    <t xml:space="preserve">cores</t>
  </si>
  <si>
    <t xml:space="preserve">Fluent transcript: 'Your license enables 4-way parallel execution'</t>
  </si>
  <si>
    <t xml:space="preserve">A hard Student-licence constraint measured directly, not assumed. Caps achievable mesh size and turnaround.</t>
  </si>
  <si>
    <t xml:space="preserve">Mechanical solver check</t>
  </si>
  <si>
    <t xml:space="preserve">PASSED</t>
  </si>
  <si>
    <t xml:space="preserve">MAPDL batch run 2026-09-18</t>
  </si>
  <si>
    <t xml:space="preserve">Minimal thermal-stress case returned sigma = -240.000 MPa against an analytical -240 MPa. Solver licence confirmed.</t>
  </si>
  <si>
    <t xml:space="preserve">Fluent solver check</t>
  </si>
  <si>
    <t xml:space="preserve">Fluent batch run 2026-09-18</t>
  </si>
  <si>
    <t xml:space="preserve">50-cell case read, initialised and ran 25 iterations with converging residuals. Solver licence confirmed.</t>
  </si>
  <si>
    <t xml:space="preserve">LIVE CALCULATION SHEET - edit ONLY the yellow INPUT cells; every value below is a formula</t>
  </si>
  <si>
    <t xml:space="preserve">This sheet is a SINGLE-POINT estimate using inlet (300 K) air properties. sizing_calculations.py marches along the duct with LOCAL properties and is the authoritative source for the Verification targets. Rows marked 'est.' differ from the marched values for that reason - the comparison block at the bottom shows both.</t>
  </si>
  <si>
    <t xml:space="preserve">Quantity</t>
  </si>
  <si>
    <t xml:space="preserve">Formula / basis</t>
  </si>
  <si>
    <t xml:space="preserve">INPUTS</t>
  </si>
  <si>
    <t xml:space="preserve">Inner diameter</t>
  </si>
  <si>
    <t xml:space="preserve">m</t>
  </si>
  <si>
    <t xml:space="preserve">INPUT - edit me</t>
  </si>
  <si>
    <t xml:space="preserve">V</t>
  </si>
  <si>
    <t xml:space="preserve">Outer heat flux</t>
  </si>
  <si>
    <t xml:space="preserve">Gas constant, air</t>
  </si>
  <si>
    <t xml:space="preserve">R</t>
  </si>
  <si>
    <t xml:space="preserve">Ratio of specific heats</t>
  </si>
  <si>
    <t xml:space="preserve">gamma</t>
  </si>
  <si>
    <t xml:space="preserve">Air specific heat</t>
  </si>
  <si>
    <t xml:space="preserve">Air viscosity at 300 K</t>
  </si>
  <si>
    <t xml:space="preserve">Air conductivity at 300 K</t>
  </si>
  <si>
    <t xml:space="preserve">Air Prandtl number at 300 K</t>
  </si>
  <si>
    <t xml:space="preserve">Solid conductivity at 575 K</t>
  </si>
  <si>
    <t xml:space="preserve">Solid Young's modulus at 555 K</t>
  </si>
  <si>
    <t xml:space="preserve">Solid mean CTE</t>
  </si>
  <si>
    <t xml:space="preserve">Solid Poisson ratio</t>
  </si>
  <si>
    <t xml:space="preserve">Solid yield at 555 K</t>
  </si>
  <si>
    <t xml:space="preserve">Stress-free reference temp</t>
  </si>
  <si>
    <t xml:space="preserve">Volume-mean solid temp (corrected march)</t>
  </si>
  <si>
    <t xml:space="preserve">T_s_mean</t>
  </si>
  <si>
    <t xml:space="preserve">DERIVED (formulas)</t>
  </si>
  <si>
    <t xml:space="preserve">Flow area</t>
  </si>
  <si>
    <t xml:space="preserve">A_c</t>
  </si>
  <si>
    <t xml:space="preserve">m2</t>
  </si>
  <si>
    <t xml:space="preserve">pi*ri^2</t>
  </si>
  <si>
    <t xml:space="preserve">Inlet density</t>
  </si>
  <si>
    <t xml:space="preserve">rho_in</t>
  </si>
  <si>
    <t xml:space="preserve">ideal gas, p/(R*T)</t>
  </si>
  <si>
    <t xml:space="preserve">Mass flow rate</t>
  </si>
  <si>
    <t xml:space="preserve">mdot</t>
  </si>
  <si>
    <t xml:space="preserve">kg/s</t>
  </si>
  <si>
    <t xml:space="preserve">rho*V*A_c</t>
  </si>
  <si>
    <t xml:space="preserve">Reynolds number (inlet)</t>
  </si>
  <si>
    <t xml:space="preserve">Re</t>
  </si>
  <si>
    <t xml:space="preserve">rho*V*D/mu   -&gt; turbulent if &gt;4000</t>
  </si>
  <si>
    <t xml:space="preserve">Mach number (inlet)</t>
  </si>
  <si>
    <t xml:space="preserve">M</t>
  </si>
  <si>
    <t xml:space="preserve">V/sqrt(gamma*R*T)  -&gt; incompressible if &lt;0.3</t>
  </si>
  <si>
    <t xml:space="preserve">Outer surface area</t>
  </si>
  <si>
    <t xml:space="preserve">A_o</t>
  </si>
  <si>
    <t xml:space="preserve">pi*Do*L</t>
  </si>
  <si>
    <t xml:space="preserve">Inner surface area</t>
  </si>
  <si>
    <t xml:space="preserve">A_i</t>
  </si>
  <si>
    <t xml:space="preserve">pi*Di*L</t>
  </si>
  <si>
    <t xml:space="preserve">Total heat input</t>
  </si>
  <si>
    <t xml:space="preserve">Q</t>
  </si>
  <si>
    <t xml:space="preserve">W</t>
  </si>
  <si>
    <t xml:space="preserve">q''_o * A_o</t>
  </si>
  <si>
    <t xml:space="preserve">Inner-surface heat flux</t>
  </si>
  <si>
    <t xml:space="preserve">q''_i</t>
  </si>
  <si>
    <t xml:space="preserve">Q/A_i  (= q''_o * Do/Di)</t>
  </si>
  <si>
    <t xml:space="preserve">Linear heat rate</t>
  </si>
  <si>
    <t xml:space="preserve">q'</t>
  </si>
  <si>
    <t xml:space="preserve">W/m</t>
  </si>
  <si>
    <t xml:space="preserve">Q/L</t>
  </si>
  <si>
    <t xml:space="preserve">Bulk temperature rise</t>
  </si>
  <si>
    <t xml:space="preserve">dT_b</t>
  </si>
  <si>
    <t xml:space="preserve">Q/(mdot*cp)  - energy balance</t>
  </si>
  <si>
    <t xml:space="preserve">Outlet bulk temperature</t>
  </si>
  <si>
    <t xml:space="preserve">T_out</t>
  </si>
  <si>
    <t xml:space="preserve">T_in + dT_b</t>
  </si>
  <si>
    <t xml:space="preserve">Darcy friction factor</t>
  </si>
  <si>
    <t xml:space="preserve">f</t>
  </si>
  <si>
    <t xml:space="preserve">Petukhov correlation</t>
  </si>
  <si>
    <t xml:space="preserve">Nusselt - Dittus-Boelter</t>
  </si>
  <si>
    <t xml:space="preserve">Nu_DB</t>
  </si>
  <si>
    <t xml:space="preserve">0.023*Re^0.8*Pr^0.4 (heating)</t>
  </si>
  <si>
    <t xml:space="preserve">Nusselt - Gnielinski</t>
  </si>
  <si>
    <t xml:space="preserve">Nu_G</t>
  </si>
  <si>
    <t xml:space="preserve">Gnielinski, more accurate at moderate Re</t>
  </si>
  <si>
    <t xml:space="preserve">Convective coefficient (inlet-property est.)</t>
  </si>
  <si>
    <t xml:space="preserve">h</t>
  </si>
  <si>
    <t xml:space="preserve">W/m2.K</t>
  </si>
  <si>
    <t xml:space="preserve">Nu*k/D  (Gnielinski)</t>
  </si>
  <si>
    <t xml:space="preserve">Wall-to-bulk dT (inlet-property est.)</t>
  </si>
  <si>
    <t xml:space="preserve">dT_conv</t>
  </si>
  <si>
    <t xml:space="preserve">q''_i / h</t>
  </si>
  <si>
    <t xml:space="preserve">Through-wall temp difference</t>
  </si>
  <si>
    <t xml:space="preserve">dT_wall</t>
  </si>
  <si>
    <t xml:space="preserve">cylindrical conduction q'*ln(ro/ri)/(2*pi*k)</t>
  </si>
  <si>
    <t xml:space="preserve">Inner wall temp at exit (upper-bound est.)</t>
  </si>
  <si>
    <t xml:space="preserve">T_wi</t>
  </si>
  <si>
    <t xml:space="preserve">T_out + dT_conv</t>
  </si>
  <si>
    <t xml:space="preserve">Outer wall temp at exit (upper-bound est.)</t>
  </si>
  <si>
    <t xml:space="preserve">T_wo</t>
  </si>
  <si>
    <t xml:space="preserve">T_wi + dT_wall</t>
  </si>
  <si>
    <t xml:space="preserve">Wall shear stress</t>
  </si>
  <si>
    <t xml:space="preserve">tau_w</t>
  </si>
  <si>
    <t xml:space="preserve">(f/8)*rho*V^2</t>
  </si>
  <si>
    <t xml:space="preserve">Friction velocity</t>
  </si>
  <si>
    <t xml:space="preserve">u_tau</t>
  </si>
  <si>
    <t xml:space="preserve">sqrt(tau_w/rho)</t>
  </si>
  <si>
    <t xml:space="preserve">First cell height for y+=1</t>
  </si>
  <si>
    <t xml:space="preserve">nu/u_tau</t>
  </si>
  <si>
    <t xml:space="preserve">Hydrodynamic entry length</t>
  </si>
  <si>
    <t xml:space="preserve">L_h</t>
  </si>
  <si>
    <t xml:space="preserve">turbulent entry correlation</t>
  </si>
  <si>
    <t xml:space="preserve">LC1 gradient stress (scale estimate)</t>
  </si>
  <si>
    <t xml:space="preserve">sig_1</t>
  </si>
  <si>
    <t xml:space="preserve">alpha*E*dT_wall/(2(1-nu)) - thick cylinder scale</t>
  </si>
  <si>
    <t xml:space="preserve">LC2 restrained axial stress</t>
  </si>
  <si>
    <t xml:space="preserve">sig_2</t>
  </si>
  <si>
    <t xml:space="preserve">-E*alpha*(T_mean - T_ref), fully restrained</t>
  </si>
  <si>
    <t xml:space="preserve">LC2 utilisation of yield</t>
  </si>
  <si>
    <t xml:space="preserve">ratio</t>
  </si>
  <si>
    <t xml:space="preserve">|sigma|/Sy   - must stay below 1.0</t>
  </si>
  <si>
    <t xml:space="preserve">LC2 margin of safety</t>
  </si>
  <si>
    <t xml:space="preserve">MoS</t>
  </si>
  <si>
    <t xml:space="preserve">Sy/|sigma| - 1</t>
  </si>
  <si>
    <t xml:space="preserve">Free radial growth of bore</t>
  </si>
  <si>
    <t xml:space="preserve">dr</t>
  </si>
  <si>
    <t xml:space="preserve">alpha*dT*ri</t>
  </si>
  <si>
    <t xml:space="preserve">Flow area change</t>
  </si>
  <si>
    <t xml:space="preserve">dA</t>
  </si>
  <si>
    <t xml:space="preserve">justifies ONE-WAY coupling if small</t>
  </si>
  <si>
    <t xml:space="preserve">SINGLE-POINT ESTIMATE  vs  MARCHED SOLUTION (sizing_calculations.py)</t>
  </si>
  <si>
    <t xml:space="preserve">This sheet (inlet props)</t>
  </si>
  <si>
    <t xml:space="preserve">Marched (local props)</t>
  </si>
  <si>
    <t xml:space="preserve">Why they differ</t>
  </si>
  <si>
    <t xml:space="preserve">Nusselt (Gnielinski)</t>
  </si>
  <si>
    <t xml:space="preserve">70.5 at inlet</t>
  </si>
  <si>
    <t xml:space="preserve">70.7 inlet -&gt; 61.9 exit (const-prop)</t>
  </si>
  <si>
    <t xml:space="preserve">Re falls 29,957 -&gt; 25,548 as viscosity rises with temperature.</t>
  </si>
  <si>
    <t xml:space="preserve">Nusselt, property-corrected</t>
  </si>
  <si>
    <t xml:space="preserve">n/a</t>
  </si>
  <si>
    <t xml:space="preserve">49.6 at exit</t>
  </si>
  <si>
    <t xml:space="preserve">Nu*(Tb/Tw)^0.5 correction for the large wall-to-bulk dT. See ASSUMPTIONS.md A-006.</t>
  </si>
  <si>
    <t xml:space="preserve">Convective coefficient h</t>
  </si>
  <si>
    <t xml:space="preserve">92.5</t>
  </si>
  <si>
    <t xml:space="preserve">92.7 inlet -&gt; 97.2 exit; 77.9 corrected</t>
  </si>
  <si>
    <t xml:space="preserve">k_air rises with temperature faster than Nu falls; correction then reduces h ~20%.</t>
  </si>
  <si>
    <t xml:space="preserve">Wall-to-bulk dT</t>
  </si>
  <si>
    <t xml:space="preserve">173</t>
  </si>
  <si>
    <t xml:space="preserve">164.6 const-prop; 205.4 corrected</t>
  </si>
  <si>
    <t xml:space="preserve">Single-point uses inlet h with exit bulk T. The corrected value is the one to expect from CFD.</t>
  </si>
  <si>
    <t xml:space="preserve">Inner wall temp at exit</t>
  </si>
  <si>
    <t xml:space="preserve">542</t>
  </si>
  <si>
    <t xml:space="preserve">533.5 const-prop; 574.3 corrected</t>
  </si>
  <si>
    <t xml:space="preserve">Use the CORRECTED value as the verification target.</t>
  </si>
  <si>
    <t xml:space="preserve">LC1 peak stress</t>
  </si>
  <si>
    <t xml:space="preserve">13.6 (scale formula)</t>
  </si>
  <si>
    <t xml:space="preserve">17.0 const-prop; 16.5 corrected (exact thick cylinder)</t>
  </si>
  <si>
    <t xml:space="preserve">MPa</t>
  </si>
  <si>
    <t xml:space="preserve">alpha*E*dT/(2(1-nu)) is a magnitude estimate; the Timoshenko solution is exact and ~22% higher.</t>
  </si>
  <si>
    <t xml:space="preserve">LC2 axial stress</t>
  </si>
  <si>
    <t xml:space="preserve">-667</t>
  </si>
  <si>
    <t xml:space="preserve">-539 const-prop; -668 corrected</t>
  </si>
  <si>
    <t xml:space="preserve">Driven by volume-mean solid temperature, which the correction raises by ~48 K.</t>
  </si>
  <si>
    <t xml:space="preserve">VERIFICATION TARGETS - the CFD and FEA must reproduce these before any result is accepted</t>
  </si>
  <si>
    <t xml:space="preserve">Values from sizing_calculations.py (1-D march, local air properties). Hand calculation FIRST, simulation SECOND.</t>
  </si>
  <si>
    <t xml:space="preserve">Check</t>
  </si>
  <si>
    <t xml:space="preserve">Analytical target</t>
  </si>
  <si>
    <t xml:space="preserve">Acceptance criterion</t>
  </si>
  <si>
    <t xml:space="preserve">Why it matters</t>
  </si>
  <si>
    <t xml:space="preserve">Global energy balance</t>
  </si>
  <si>
    <t xml:space="preserve">603.2</t>
  </si>
  <si>
    <t xml:space="preserve">within 0.5%</t>
  </si>
  <si>
    <t xml:space="preserve">If Q_in does not equal mdot*cp*dT_b, the solution is not converged or the BCs are wrong. This is the single hardest pass/fail test.</t>
  </si>
  <si>
    <t xml:space="preserve">368.9</t>
  </si>
  <si>
    <t xml:space="preserve">within 3%</t>
  </si>
  <si>
    <t xml:space="preserve">Fixed by the energy balance and INDEPENDENT of the heat transfer coefficient, so it is the most robust scalar check.</t>
  </si>
  <si>
    <t xml:space="preserve">Fully developed Nu (x/D&gt;18)</t>
  </si>
  <si>
    <t xml:space="preserve">49.6 corrected  |  61.9-66.8 constant-property</t>
  </si>
  <si>
    <t xml:space="preserve">accept 44-67; expect near 50</t>
  </si>
  <si>
    <t xml:space="preserve">Validates turbulence model and near-wall mesh. The wide band is honest: constant-property correlations are outside their validity range here (see ASSUMPTIONS A-006).</t>
  </si>
  <si>
    <t xml:space="preserve">0.0241</t>
  </si>
  <si>
    <t xml:space="preserve">within 10%</t>
  </si>
  <si>
    <t xml:space="preserve">Independent check on momentum and near-wall resolution, separate from heat transfer.</t>
  </si>
  <si>
    <t xml:space="preserve">Total pressure drop</t>
  </si>
  <si>
    <t xml:space="preserve">412 (263 friction + 149 acceleration)</t>
  </si>
  <si>
    <t xml:space="preserve">within 15%</t>
  </si>
  <si>
    <t xml:space="preserve">Confirms the thermal-acceleration term is captured, not just friction.</t>
  </si>
  <si>
    <t xml:space="preserve">Peak inner wall temperature</t>
  </si>
  <si>
    <t xml:space="preserve">574.3 corrected (533.5 uncorrected)</t>
  </si>
  <si>
    <t xml:space="preserve">within 5% of corrected</t>
  </si>
  <si>
    <t xml:space="preserve">Drives material selection and the entire stress field. Expect CFD near the corrected value.</t>
  </si>
  <si>
    <t xml:space="preserve">Through-wall temperature drop</t>
  </si>
  <si>
    <t xml:space="preserve">7.2</t>
  </si>
  <si>
    <t xml:space="preserve">Validates the conjugate conduction path through the solid.</t>
  </si>
  <si>
    <t xml:space="preserve">y+ on the fluid-solid wall</t>
  </si>
  <si>
    <t xml:space="preserve">&lt;= 1 target, &lt; 5 acceptable</t>
  </si>
  <si>
    <t xml:space="preserve">checked post-solve</t>
  </si>
  <si>
    <t xml:space="preserve">If y+ is too large the wall heat flux is modelled rather than resolved, and the solid temperature is unreliable.</t>
  </si>
  <si>
    <t xml:space="preserve">LC1 peak von Mises</t>
  </si>
  <si>
    <t xml:space="preserve">16.5</t>
  </si>
  <si>
    <t xml:space="preserve">within 15% of thick-cylinder closed form</t>
  </si>
  <si>
    <t xml:space="preserve">Validates the thermal-stress mapping and the FEA itself.</t>
  </si>
  <si>
    <t xml:space="preserve">-668</t>
  </si>
  <si>
    <t xml:space="preserve">within 10% of -E*alpha*dT</t>
  </si>
  <si>
    <t xml:space="preserve">Validates restraint modelling and confirms the result stays elastic.</t>
  </si>
  <si>
    <t xml:space="preserve">LC2 utilisation of hot yield</t>
  </si>
  <si>
    <t xml:space="preserve">0.63</t>
  </si>
  <si>
    <t xml:space="preserve">must stay below 1.0</t>
  </si>
  <si>
    <t xml:space="preserve">If it reaches 1.0 the linear-elastic result is invalid and plasticity is required.</t>
  </si>
  <si>
    <t xml:space="preserve">0.59</t>
  </si>
  <si>
    <t xml:space="preserve">must be &gt; 0</t>
  </si>
  <si>
    <t xml:space="preserve">Robust to the correction exponent: 0.98 uncorrected, 0.59 corrected. Both positive.</t>
  </si>
  <si>
    <t xml:space="preserve">LC2 / LC1 stress ratio</t>
  </si>
  <si>
    <t xml:space="preserve">~40x</t>
  </si>
  <si>
    <t xml:space="preserve">order of magnitude</t>
  </si>
  <si>
    <t xml:space="preserve">The central finding: restraint dominates the through-wall gradient.</t>
  </si>
  <si>
    <t xml:space="preserve">Mesh independence</t>
  </si>
  <si>
    <t xml:space="preserve">&lt;3% change in Nu and peak T</t>
  </si>
  <si>
    <t xml:space="preserve">across 3 mesh levels</t>
  </si>
  <si>
    <t xml:space="preserve">Without this, no result is defensible regardless of how well it matches a correlation.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</si>
</sst>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00000E+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7"/>
    <col collapsed="false" customWidth="true" hidden="false" outlineLevel="0" max="5" min="5" style="0" width="10"/>
    <col collapsed="false" customWidth="true" hidden="false" outlineLevel="0" max="6" min="6" style="0" width="34"/>
    <col collapsed="false" customWidth="true" hidden="false" outlineLevel="0" max="7" min="7" style="0" width="62"/>
    <col collapsed="false" customWidth="true" hidden="false" outlineLevel="0" max="8" min="8" style="0" width="21"/>
  </cols>
  <sheetData>
    <row r="1" customFormat="false" ht="15" hidden="false" customHeight="false" outlineLevel="0" collapsed="false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customFormat="false" ht="15" hidden="false" customHeight="false" outlineLevel="0" collapsed="false">
      <c r="A2" s="5" t="s">
        <v>25</v>
      </c>
      <c r="B2" s="6"/>
      <c r="C2" s="6"/>
      <c r="D2" s="6"/>
      <c r="E2" s="6"/>
      <c r="F2" s="6"/>
      <c r="G2" s="6"/>
      <c r="H2" s="6"/>
    </row>
    <row r="3" customFormat="false" ht="35.05" hidden="false" customHeight="false" outlineLevel="0" collapsed="false">
      <c r="A3" s="7"/>
      <c r="B3" s="7" t="s">
        <v>26</v>
      </c>
      <c r="C3" s="7" t="s">
        <v>27</v>
      </c>
      <c r="D3" s="7" t="n">
        <v>20</v>
      </c>
      <c r="E3" s="7" t="s">
        <v>28</v>
      </c>
      <c r="F3" s="7" t="s">
        <v>29</v>
      </c>
      <c r="G3" s="7" t="s">
        <v>30</v>
      </c>
      <c r="H3" s="8" t="s">
        <v>31</v>
      </c>
    </row>
    <row r="4" customFormat="false" ht="23.85" hidden="false" customHeight="false" outlineLevel="0" collapsed="false">
      <c r="A4" s="7"/>
      <c r="B4" s="7" t="s">
        <v>32</v>
      </c>
      <c r="C4" s="7" t="s">
        <v>33</v>
      </c>
      <c r="D4" s="7" t="n">
        <v>40</v>
      </c>
      <c r="E4" s="7" t="s">
        <v>28</v>
      </c>
      <c r="F4" s="7" t="s">
        <v>29</v>
      </c>
      <c r="G4" s="7" t="s">
        <v>34</v>
      </c>
      <c r="H4" s="8" t="s">
        <v>31</v>
      </c>
    </row>
    <row r="5" customFormat="false" ht="23.85" hidden="false" customHeight="false" outlineLevel="0" collapsed="false">
      <c r="A5" s="7"/>
      <c r="B5" s="7" t="s">
        <v>35</v>
      </c>
      <c r="C5" s="7" t="s">
        <v>36</v>
      </c>
      <c r="D5" s="7" t="n">
        <v>10</v>
      </c>
      <c r="E5" s="7" t="s">
        <v>28</v>
      </c>
      <c r="F5" s="7" t="s">
        <v>37</v>
      </c>
      <c r="G5" s="7" t="s">
        <v>38</v>
      </c>
      <c r="H5" s="7" t="s">
        <v>39</v>
      </c>
    </row>
    <row r="6" customFormat="false" ht="23.85" hidden="false" customHeight="false" outlineLevel="0" collapsed="false">
      <c r="A6" s="7"/>
      <c r="B6" s="7" t="s">
        <v>40</v>
      </c>
      <c r="C6" s="7" t="s">
        <v>41</v>
      </c>
      <c r="D6" s="7" t="n">
        <v>600</v>
      </c>
      <c r="E6" s="7" t="s">
        <v>28</v>
      </c>
      <c r="F6" s="7" t="s">
        <v>29</v>
      </c>
      <c r="G6" s="7" t="s">
        <v>42</v>
      </c>
      <c r="H6" s="8" t="s">
        <v>31</v>
      </c>
    </row>
    <row r="7" customFormat="false" ht="23.85" hidden="false" customHeight="false" outlineLevel="0" collapsed="false">
      <c r="A7" s="7"/>
      <c r="B7" s="7" t="s">
        <v>43</v>
      </c>
      <c r="C7" s="7" t="s">
        <v>44</v>
      </c>
      <c r="D7" s="7" t="n">
        <v>30</v>
      </c>
      <c r="E7" s="7" t="s">
        <v>45</v>
      </c>
      <c r="F7" s="7" t="s">
        <v>39</v>
      </c>
      <c r="G7" s="7" t="s">
        <v>46</v>
      </c>
      <c r="H7" s="7" t="s">
        <v>39</v>
      </c>
    </row>
    <row r="8" customFormat="false" ht="15" hidden="false" customHeight="false" outlineLevel="0" collapsed="false">
      <c r="A8" s="5" t="s">
        <v>47</v>
      </c>
      <c r="B8" s="6"/>
      <c r="C8" s="6"/>
      <c r="D8" s="6"/>
      <c r="E8" s="6"/>
      <c r="F8" s="6"/>
      <c r="G8" s="6"/>
      <c r="H8" s="6"/>
    </row>
    <row r="9" customFormat="false" ht="35.05" hidden="false" customHeight="false" outlineLevel="0" collapsed="false">
      <c r="A9" s="7"/>
      <c r="B9" s="7" t="s">
        <v>48</v>
      </c>
      <c r="C9" s="7" t="s">
        <v>49</v>
      </c>
      <c r="D9" s="7" t="s">
        <v>45</v>
      </c>
      <c r="E9" s="7" t="s">
        <v>45</v>
      </c>
      <c r="F9" s="7" t="s">
        <v>29</v>
      </c>
      <c r="G9" s="7" t="s">
        <v>50</v>
      </c>
      <c r="H9" s="8" t="s">
        <v>31</v>
      </c>
    </row>
    <row r="10" customFormat="false" ht="35.05" hidden="false" customHeight="false" outlineLevel="0" collapsed="false">
      <c r="A10" s="7"/>
      <c r="B10" s="7" t="s">
        <v>51</v>
      </c>
      <c r="C10" s="7" t="s">
        <v>52</v>
      </c>
      <c r="D10" s="7" t="s">
        <v>53</v>
      </c>
      <c r="E10" s="7" t="s">
        <v>45</v>
      </c>
      <c r="F10" s="7" t="s">
        <v>54</v>
      </c>
      <c r="G10" s="7" t="s">
        <v>55</v>
      </c>
      <c r="H10" s="8" t="s">
        <v>31</v>
      </c>
    </row>
    <row r="11" customFormat="false" ht="23.85" hidden="false" customHeight="false" outlineLevel="0" collapsed="false">
      <c r="A11" s="7"/>
      <c r="B11" s="7" t="s">
        <v>56</v>
      </c>
      <c r="C11" s="7" t="s">
        <v>57</v>
      </c>
      <c r="D11" s="7" t="n">
        <v>23.5</v>
      </c>
      <c r="E11" s="7" t="s">
        <v>58</v>
      </c>
      <c r="F11" s="7" t="s">
        <v>59</v>
      </c>
      <c r="G11" s="7" t="s">
        <v>60</v>
      </c>
      <c r="H11" s="8" t="s">
        <v>31</v>
      </c>
    </row>
    <row r="12" customFormat="false" ht="23.85" hidden="false" customHeight="false" outlineLevel="0" collapsed="false">
      <c r="A12" s="7"/>
      <c r="B12" s="7" t="s">
        <v>61</v>
      </c>
      <c r="C12" s="7" t="s">
        <v>62</v>
      </c>
      <c r="D12" s="7" t="n">
        <v>300</v>
      </c>
      <c r="E12" s="7" t="s">
        <v>63</v>
      </c>
      <c r="F12" s="7" t="s">
        <v>29</v>
      </c>
      <c r="G12" s="7" t="s">
        <v>64</v>
      </c>
      <c r="H12" s="8" t="s">
        <v>31</v>
      </c>
    </row>
    <row r="13" customFormat="false" ht="23.85" hidden="false" customHeight="false" outlineLevel="0" collapsed="false">
      <c r="A13" s="7"/>
      <c r="B13" s="7" t="s">
        <v>65</v>
      </c>
      <c r="C13" s="7" t="s">
        <v>66</v>
      </c>
      <c r="D13" s="7" t="n">
        <v>101325</v>
      </c>
      <c r="E13" s="7" t="s">
        <v>67</v>
      </c>
      <c r="F13" s="7" t="s">
        <v>68</v>
      </c>
      <c r="G13" s="7" t="s">
        <v>69</v>
      </c>
      <c r="H13" s="8" t="s">
        <v>31</v>
      </c>
    </row>
    <row r="14" customFormat="false" ht="23.85" hidden="false" customHeight="false" outlineLevel="0" collapsed="false">
      <c r="A14" s="7"/>
      <c r="B14" s="7" t="s">
        <v>70</v>
      </c>
      <c r="C14" s="7" t="s">
        <v>71</v>
      </c>
      <c r="D14" s="7" t="n">
        <v>1009</v>
      </c>
      <c r="E14" s="7" t="s">
        <v>72</v>
      </c>
      <c r="F14" s="7" t="s">
        <v>73</v>
      </c>
      <c r="G14" s="7" t="s">
        <v>74</v>
      </c>
      <c r="H14" s="7" t="s">
        <v>75</v>
      </c>
    </row>
    <row r="15" customFormat="false" ht="23.85" hidden="false" customHeight="false" outlineLevel="0" collapsed="false">
      <c r="A15" s="7"/>
      <c r="B15" s="7" t="s">
        <v>76</v>
      </c>
      <c r="C15" s="7" t="s">
        <v>77</v>
      </c>
      <c r="D15" s="7" t="n">
        <v>1.846E-005</v>
      </c>
      <c r="E15" s="7" t="s">
        <v>78</v>
      </c>
      <c r="F15" s="7" t="s">
        <v>79</v>
      </c>
      <c r="G15" s="7" t="s">
        <v>80</v>
      </c>
      <c r="H15" s="7" t="s">
        <v>75</v>
      </c>
    </row>
    <row r="16" customFormat="false" ht="23.85" hidden="false" customHeight="false" outlineLevel="0" collapsed="false">
      <c r="A16" s="7"/>
      <c r="B16" s="7" t="s">
        <v>81</v>
      </c>
      <c r="C16" s="7" t="s">
        <v>82</v>
      </c>
      <c r="D16" s="7" t="n">
        <v>0.03003</v>
      </c>
      <c r="E16" s="7" t="s">
        <v>83</v>
      </c>
      <c r="F16" s="7" t="s">
        <v>79</v>
      </c>
      <c r="G16" s="7" t="s">
        <v>84</v>
      </c>
      <c r="H16" s="7" t="s">
        <v>75</v>
      </c>
    </row>
    <row r="17" customFormat="false" ht="15" hidden="false" customHeight="false" outlineLevel="0" collapsed="false">
      <c r="A17" s="7"/>
      <c r="B17" s="7" t="s">
        <v>85</v>
      </c>
      <c r="C17" s="7" t="s">
        <v>86</v>
      </c>
      <c r="D17" s="7" t="n">
        <v>0.707</v>
      </c>
      <c r="E17" s="7" t="s">
        <v>45</v>
      </c>
      <c r="F17" s="7" t="s">
        <v>79</v>
      </c>
      <c r="G17" s="7" t="s">
        <v>87</v>
      </c>
      <c r="H17" s="7" t="s">
        <v>75</v>
      </c>
    </row>
    <row r="18" customFormat="false" ht="15" hidden="false" customHeight="false" outlineLevel="0" collapsed="false">
      <c r="A18" s="5" t="s">
        <v>88</v>
      </c>
      <c r="B18" s="6"/>
      <c r="C18" s="6"/>
      <c r="D18" s="6"/>
      <c r="E18" s="6"/>
      <c r="F18" s="6"/>
      <c r="G18" s="6"/>
      <c r="H18" s="6"/>
    </row>
    <row r="19" customFormat="false" ht="35.05" hidden="false" customHeight="false" outlineLevel="0" collapsed="false">
      <c r="A19" s="7"/>
      <c r="B19" s="7" t="s">
        <v>89</v>
      </c>
      <c r="C19" s="7" t="s">
        <v>90</v>
      </c>
      <c r="D19" s="7" t="s">
        <v>45</v>
      </c>
      <c r="E19" s="7" t="s">
        <v>45</v>
      </c>
      <c r="F19" s="7" t="s">
        <v>91</v>
      </c>
      <c r="G19" s="7" t="s">
        <v>92</v>
      </c>
      <c r="H19" s="8" t="s">
        <v>31</v>
      </c>
    </row>
    <row r="20" customFormat="false" ht="15" hidden="false" customHeight="false" outlineLevel="0" collapsed="false">
      <c r="A20" s="7"/>
      <c r="B20" s="7" t="s">
        <v>93</v>
      </c>
      <c r="C20" s="7" t="s">
        <v>94</v>
      </c>
      <c r="D20" s="7" t="n">
        <v>8190</v>
      </c>
      <c r="E20" s="7" t="s">
        <v>95</v>
      </c>
      <c r="F20" s="7" t="s">
        <v>96</v>
      </c>
      <c r="G20" s="7" t="s">
        <v>97</v>
      </c>
      <c r="H20" s="7" t="s">
        <v>75</v>
      </c>
    </row>
    <row r="21" customFormat="false" ht="23.85" hidden="false" customHeight="false" outlineLevel="0" collapsed="false">
      <c r="A21" s="7"/>
      <c r="B21" s="7" t="s">
        <v>98</v>
      </c>
      <c r="C21" s="7" t="s">
        <v>99</v>
      </c>
      <c r="D21" s="7" t="n">
        <v>15.3</v>
      </c>
      <c r="E21" s="7" t="s">
        <v>83</v>
      </c>
      <c r="F21" s="7" t="s">
        <v>100</v>
      </c>
      <c r="G21" s="7" t="s">
        <v>101</v>
      </c>
      <c r="H21" s="7" t="s">
        <v>75</v>
      </c>
    </row>
    <row r="22" customFormat="false" ht="23.85" hidden="false" customHeight="false" outlineLevel="0" collapsed="false">
      <c r="A22" s="7"/>
      <c r="B22" s="7" t="s">
        <v>102</v>
      </c>
      <c r="C22" s="7" t="s">
        <v>103</v>
      </c>
      <c r="D22" s="7" t="n">
        <v>435</v>
      </c>
      <c r="E22" s="7" t="s">
        <v>72</v>
      </c>
      <c r="F22" s="7" t="s">
        <v>96</v>
      </c>
      <c r="G22" s="7" t="s">
        <v>104</v>
      </c>
      <c r="H22" s="7" t="s">
        <v>75</v>
      </c>
    </row>
    <row r="23" customFormat="false" ht="23.85" hidden="false" customHeight="false" outlineLevel="0" collapsed="false">
      <c r="A23" s="7"/>
      <c r="B23" s="7" t="s">
        <v>105</v>
      </c>
      <c r="C23" s="7" t="s">
        <v>106</v>
      </c>
      <c r="D23" s="7" t="n">
        <v>188500000000</v>
      </c>
      <c r="E23" s="7" t="s">
        <v>67</v>
      </c>
      <c r="F23" s="7" t="s">
        <v>107</v>
      </c>
      <c r="G23" s="7" t="s">
        <v>108</v>
      </c>
      <c r="H23" s="7" t="s">
        <v>75</v>
      </c>
    </row>
    <row r="24" customFormat="false" ht="15" hidden="false" customHeight="false" outlineLevel="0" collapsed="false">
      <c r="A24" s="7"/>
      <c r="B24" s="7" t="s">
        <v>109</v>
      </c>
      <c r="C24" s="7" t="s">
        <v>110</v>
      </c>
      <c r="D24" s="7" t="n">
        <v>0.294</v>
      </c>
      <c r="E24" s="7" t="s">
        <v>45</v>
      </c>
      <c r="F24" s="7" t="s">
        <v>96</v>
      </c>
      <c r="G24" s="7" t="s">
        <v>97</v>
      </c>
      <c r="H24" s="7" t="s">
        <v>75</v>
      </c>
    </row>
    <row r="25" customFormat="false" ht="23.85" hidden="false" customHeight="false" outlineLevel="0" collapsed="false">
      <c r="A25" s="7"/>
      <c r="B25" s="7" t="s">
        <v>111</v>
      </c>
      <c r="C25" s="7" t="s">
        <v>112</v>
      </c>
      <c r="D25" s="7" t="n">
        <v>1.39E-005</v>
      </c>
      <c r="E25" s="7" t="s">
        <v>113</v>
      </c>
      <c r="F25" s="7" t="s">
        <v>107</v>
      </c>
      <c r="G25" s="7" t="s">
        <v>114</v>
      </c>
      <c r="H25" s="7" t="s">
        <v>75</v>
      </c>
    </row>
    <row r="26" customFormat="false" ht="23.85" hidden="false" customHeight="false" outlineLevel="0" collapsed="false">
      <c r="A26" s="7"/>
      <c r="B26" s="7" t="s">
        <v>115</v>
      </c>
      <c r="C26" s="7" t="s">
        <v>116</v>
      </c>
      <c r="D26" s="7" t="n">
        <v>1060000000</v>
      </c>
      <c r="E26" s="7" t="s">
        <v>67</v>
      </c>
      <c r="F26" s="7" t="s">
        <v>107</v>
      </c>
      <c r="G26" s="7" t="s">
        <v>117</v>
      </c>
      <c r="H26" s="7" t="s">
        <v>75</v>
      </c>
    </row>
    <row r="27" customFormat="false" ht="15" hidden="false" customHeight="false" outlineLevel="0" collapsed="false">
      <c r="A27" s="5" t="s">
        <v>118</v>
      </c>
      <c r="B27" s="6"/>
      <c r="C27" s="6"/>
      <c r="D27" s="6"/>
      <c r="E27" s="6"/>
      <c r="F27" s="6"/>
      <c r="G27" s="6"/>
      <c r="H27" s="6"/>
    </row>
    <row r="28" customFormat="false" ht="23.85" hidden="false" customHeight="false" outlineLevel="0" collapsed="false">
      <c r="A28" s="7"/>
      <c r="B28" s="7" t="s">
        <v>119</v>
      </c>
      <c r="C28" s="7" t="s">
        <v>45</v>
      </c>
      <c r="D28" s="7" t="s">
        <v>120</v>
      </c>
      <c r="E28" s="7" t="s">
        <v>45</v>
      </c>
      <c r="F28" s="7" t="s">
        <v>29</v>
      </c>
      <c r="G28" s="7" t="s">
        <v>121</v>
      </c>
      <c r="H28" s="8" t="s">
        <v>31</v>
      </c>
    </row>
    <row r="29" customFormat="false" ht="23.85" hidden="false" customHeight="false" outlineLevel="0" collapsed="false">
      <c r="A29" s="7"/>
      <c r="B29" s="7" t="s">
        <v>122</v>
      </c>
      <c r="C29" s="7" t="s">
        <v>123</v>
      </c>
      <c r="D29" s="7" t="n">
        <v>4.4</v>
      </c>
      <c r="E29" s="7" t="s">
        <v>124</v>
      </c>
      <c r="F29" s="7" t="s">
        <v>125</v>
      </c>
      <c r="G29" s="7" t="s">
        <v>126</v>
      </c>
      <c r="H29" s="7" t="s">
        <v>39</v>
      </c>
    </row>
    <row r="30" customFormat="false" ht="23.85" hidden="false" customHeight="false" outlineLevel="0" collapsed="false">
      <c r="A30" s="7"/>
      <c r="B30" s="7" t="s">
        <v>127</v>
      </c>
      <c r="C30" s="7" t="s">
        <v>45</v>
      </c>
      <c r="D30" s="7" t="s">
        <v>128</v>
      </c>
      <c r="E30" s="7" t="s">
        <v>45</v>
      </c>
      <c r="F30" s="7" t="s">
        <v>29</v>
      </c>
      <c r="G30" s="7" t="s">
        <v>129</v>
      </c>
      <c r="H30" s="8" t="s">
        <v>31</v>
      </c>
    </row>
    <row r="31" customFormat="false" ht="68.65" hidden="false" customHeight="false" outlineLevel="0" collapsed="false">
      <c r="A31" s="7"/>
      <c r="B31" s="7" t="s">
        <v>130</v>
      </c>
      <c r="C31" s="7" t="s">
        <v>131</v>
      </c>
      <c r="D31" s="7" t="n">
        <v>8000</v>
      </c>
      <c r="E31" s="7" t="s">
        <v>132</v>
      </c>
      <c r="F31" s="7" t="s">
        <v>29</v>
      </c>
      <c r="G31" s="7" t="s">
        <v>133</v>
      </c>
      <c r="H31" s="8" t="s">
        <v>31</v>
      </c>
    </row>
    <row r="32" customFormat="false" ht="23.85" hidden="false" customHeight="false" outlineLevel="0" collapsed="false">
      <c r="A32" s="7"/>
      <c r="B32" s="7" t="s">
        <v>134</v>
      </c>
      <c r="C32" s="7" t="s">
        <v>45</v>
      </c>
      <c r="D32" s="7" t="s">
        <v>135</v>
      </c>
      <c r="E32" s="7" t="s">
        <v>45</v>
      </c>
      <c r="F32" s="7" t="s">
        <v>29</v>
      </c>
      <c r="G32" s="7" t="s">
        <v>136</v>
      </c>
      <c r="H32" s="8" t="s">
        <v>31</v>
      </c>
    </row>
    <row r="33" customFormat="false" ht="23.85" hidden="false" customHeight="false" outlineLevel="0" collapsed="false">
      <c r="A33" s="7"/>
      <c r="B33" s="7" t="s">
        <v>137</v>
      </c>
      <c r="C33" s="7" t="s">
        <v>45</v>
      </c>
      <c r="D33" s="7" t="s">
        <v>138</v>
      </c>
      <c r="E33" s="7" t="s">
        <v>45</v>
      </c>
      <c r="F33" s="7" t="s">
        <v>139</v>
      </c>
      <c r="G33" s="7" t="s">
        <v>140</v>
      </c>
      <c r="H33" s="8" t="s">
        <v>31</v>
      </c>
    </row>
    <row r="34" customFormat="false" ht="23.85" hidden="false" customHeight="false" outlineLevel="0" collapsed="false">
      <c r="A34" s="7"/>
      <c r="B34" s="7" t="s">
        <v>141</v>
      </c>
      <c r="C34" s="7" t="s">
        <v>142</v>
      </c>
      <c r="D34" s="7" t="n">
        <v>300</v>
      </c>
      <c r="E34" s="7" t="s">
        <v>63</v>
      </c>
      <c r="F34" s="7" t="s">
        <v>143</v>
      </c>
      <c r="G34" s="7" t="s">
        <v>144</v>
      </c>
      <c r="H34" s="8" t="s">
        <v>31</v>
      </c>
    </row>
    <row r="35" customFormat="false" ht="23.85" hidden="false" customHeight="false" outlineLevel="0" collapsed="false">
      <c r="A35" s="7"/>
      <c r="B35" s="7" t="s">
        <v>145</v>
      </c>
      <c r="C35" s="7" t="s">
        <v>146</v>
      </c>
      <c r="D35" s="7" t="s">
        <v>147</v>
      </c>
      <c r="E35" s="7" t="s">
        <v>45</v>
      </c>
      <c r="F35" s="7" t="s">
        <v>29</v>
      </c>
      <c r="G35" s="7" t="s">
        <v>148</v>
      </c>
      <c r="H35" s="8" t="s">
        <v>31</v>
      </c>
    </row>
    <row r="36" customFormat="false" ht="23.85" hidden="false" customHeight="false" outlineLevel="0" collapsed="false">
      <c r="A36" s="7"/>
      <c r="B36" s="7" t="s">
        <v>149</v>
      </c>
      <c r="C36" s="7" t="s">
        <v>150</v>
      </c>
      <c r="D36" s="7" t="s">
        <v>151</v>
      </c>
      <c r="E36" s="7" t="s">
        <v>45</v>
      </c>
      <c r="F36" s="7" t="s">
        <v>29</v>
      </c>
      <c r="G36" s="7" t="s">
        <v>152</v>
      </c>
      <c r="H36" s="8" t="s">
        <v>31</v>
      </c>
    </row>
    <row r="37" customFormat="false" ht="15" hidden="false" customHeight="false" outlineLevel="0" collapsed="false">
      <c r="A37" s="5" t="s">
        <v>153</v>
      </c>
      <c r="B37" s="6"/>
      <c r="C37" s="6"/>
      <c r="D37" s="6"/>
      <c r="E37" s="6"/>
      <c r="F37" s="6"/>
      <c r="G37" s="6"/>
      <c r="H37" s="6"/>
    </row>
    <row r="38" customFormat="false" ht="23.85" hidden="false" customHeight="false" outlineLevel="0" collapsed="false">
      <c r="A38" s="7"/>
      <c r="B38" s="7" t="s">
        <v>154</v>
      </c>
      <c r="C38" s="7" t="s">
        <v>45</v>
      </c>
      <c r="D38" s="7" t="s">
        <v>155</v>
      </c>
      <c r="E38" s="7" t="s">
        <v>45</v>
      </c>
      <c r="F38" s="7" t="s">
        <v>29</v>
      </c>
      <c r="G38" s="7" t="s">
        <v>156</v>
      </c>
      <c r="H38" s="8" t="s">
        <v>31</v>
      </c>
    </row>
    <row r="39" customFormat="false" ht="35.05" hidden="false" customHeight="false" outlineLevel="0" collapsed="false">
      <c r="A39" s="7"/>
      <c r="B39" s="7" t="s">
        <v>157</v>
      </c>
      <c r="C39" s="7" t="s">
        <v>45</v>
      </c>
      <c r="D39" s="7" t="s">
        <v>158</v>
      </c>
      <c r="E39" s="7" t="s">
        <v>45</v>
      </c>
      <c r="F39" s="7" t="s">
        <v>29</v>
      </c>
      <c r="G39" s="7" t="s">
        <v>159</v>
      </c>
      <c r="H39" s="8" t="s">
        <v>31</v>
      </c>
    </row>
    <row r="40" customFormat="false" ht="23.85" hidden="false" customHeight="false" outlineLevel="0" collapsed="false">
      <c r="A40" s="7"/>
      <c r="B40" s="7" t="s">
        <v>160</v>
      </c>
      <c r="C40" s="7" t="s">
        <v>161</v>
      </c>
      <c r="D40" s="7" t="s">
        <v>162</v>
      </c>
      <c r="E40" s="7" t="s">
        <v>45</v>
      </c>
      <c r="F40" s="7" t="s">
        <v>29</v>
      </c>
      <c r="G40" s="7" t="s">
        <v>163</v>
      </c>
      <c r="H40" s="8" t="s">
        <v>31</v>
      </c>
    </row>
    <row r="41" customFormat="false" ht="15" hidden="false" customHeight="false" outlineLevel="0" collapsed="false">
      <c r="A41" s="7"/>
      <c r="B41" s="7" t="s">
        <v>164</v>
      </c>
      <c r="C41" s="7" t="s">
        <v>165</v>
      </c>
      <c r="D41" s="7" t="n">
        <v>12.1</v>
      </c>
      <c r="E41" s="7" t="s">
        <v>166</v>
      </c>
      <c r="F41" s="7" t="s">
        <v>167</v>
      </c>
      <c r="G41" s="7" t="s">
        <v>168</v>
      </c>
      <c r="H41" s="7" t="s">
        <v>39</v>
      </c>
    </row>
    <row r="42" customFormat="false" ht="23.85" hidden="false" customHeight="false" outlineLevel="0" collapsed="false">
      <c r="A42" s="7"/>
      <c r="B42" s="7" t="s">
        <v>169</v>
      </c>
      <c r="C42" s="7" t="s">
        <v>45</v>
      </c>
      <c r="D42" s="7" t="n">
        <v>18</v>
      </c>
      <c r="E42" s="7" t="s">
        <v>45</v>
      </c>
      <c r="F42" s="7" t="s">
        <v>29</v>
      </c>
      <c r="G42" s="7" t="s">
        <v>170</v>
      </c>
      <c r="H42" s="8" t="s">
        <v>31</v>
      </c>
    </row>
    <row r="43" customFormat="false" ht="35.05" hidden="false" customHeight="false" outlineLevel="0" collapsed="false">
      <c r="A43" s="7"/>
      <c r="B43" s="7" t="s">
        <v>171</v>
      </c>
      <c r="C43" s="7" t="s">
        <v>45</v>
      </c>
      <c r="D43" s="7" t="s">
        <v>172</v>
      </c>
      <c r="E43" s="7" t="s">
        <v>45</v>
      </c>
      <c r="F43" s="7" t="s">
        <v>173</v>
      </c>
      <c r="G43" s="7" t="s">
        <v>174</v>
      </c>
      <c r="H43" s="7" t="s">
        <v>39</v>
      </c>
    </row>
    <row r="44" customFormat="false" ht="23.85" hidden="false" customHeight="false" outlineLevel="0" collapsed="false">
      <c r="A44" s="7"/>
      <c r="B44" s="7" t="s">
        <v>175</v>
      </c>
      <c r="C44" s="7" t="s">
        <v>45</v>
      </c>
      <c r="D44" s="7" t="n">
        <v>170000</v>
      </c>
      <c r="E44" s="7" t="s">
        <v>176</v>
      </c>
      <c r="F44" s="7" t="s">
        <v>177</v>
      </c>
      <c r="G44" s="7" t="s">
        <v>178</v>
      </c>
      <c r="H44" s="7" t="s">
        <v>39</v>
      </c>
    </row>
    <row r="45" customFormat="false" ht="15" hidden="false" customHeight="false" outlineLevel="0" collapsed="false">
      <c r="A45" s="5" t="s">
        <v>179</v>
      </c>
      <c r="B45" s="6"/>
      <c r="C45" s="6"/>
      <c r="D45" s="6"/>
      <c r="E45" s="6"/>
      <c r="F45" s="6"/>
      <c r="G45" s="6"/>
      <c r="H45" s="6"/>
    </row>
    <row r="46" customFormat="false" ht="23.85" hidden="false" customHeight="false" outlineLevel="0" collapsed="false">
      <c r="A46" s="7"/>
      <c r="B46" s="7" t="s">
        <v>180</v>
      </c>
      <c r="C46" s="7" t="s">
        <v>45</v>
      </c>
      <c r="D46" s="7" t="s">
        <v>181</v>
      </c>
      <c r="E46" s="7" t="s">
        <v>45</v>
      </c>
      <c r="F46" s="7" t="s">
        <v>182</v>
      </c>
      <c r="G46" s="7" t="s">
        <v>183</v>
      </c>
      <c r="H46" s="7" t="s">
        <v>184</v>
      </c>
    </row>
    <row r="47" customFormat="false" ht="23.85" hidden="false" customHeight="false" outlineLevel="0" collapsed="false">
      <c r="A47" s="7"/>
      <c r="B47" s="7" t="s">
        <v>185</v>
      </c>
      <c r="C47" s="7" t="s">
        <v>45</v>
      </c>
      <c r="D47" s="7" t="n">
        <v>4</v>
      </c>
      <c r="E47" s="7" t="s">
        <v>186</v>
      </c>
      <c r="F47" s="7" t="s">
        <v>187</v>
      </c>
      <c r="G47" s="7" t="s">
        <v>188</v>
      </c>
      <c r="H47" s="7" t="s">
        <v>184</v>
      </c>
    </row>
    <row r="48" customFormat="false" ht="23.85" hidden="false" customHeight="false" outlineLevel="0" collapsed="false">
      <c r="A48" s="7"/>
      <c r="B48" s="7" t="s">
        <v>189</v>
      </c>
      <c r="C48" s="7" t="s">
        <v>45</v>
      </c>
      <c r="D48" s="7" t="s">
        <v>190</v>
      </c>
      <c r="E48" s="7" t="s">
        <v>45</v>
      </c>
      <c r="F48" s="7" t="s">
        <v>191</v>
      </c>
      <c r="G48" s="7" t="s">
        <v>192</v>
      </c>
      <c r="H48" s="7" t="s">
        <v>184</v>
      </c>
    </row>
    <row r="49" customFormat="false" ht="23.85" hidden="false" customHeight="false" outlineLevel="0" collapsed="false">
      <c r="A49" s="7"/>
      <c r="B49" s="7" t="s">
        <v>193</v>
      </c>
      <c r="C49" s="7" t="s">
        <v>45</v>
      </c>
      <c r="D49" s="7" t="s">
        <v>190</v>
      </c>
      <c r="E49" s="7" t="s">
        <v>45</v>
      </c>
      <c r="F49" s="7" t="s">
        <v>194</v>
      </c>
      <c r="G49" s="7" t="s">
        <v>195</v>
      </c>
      <c r="H49" s="7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56"/>
  </cols>
  <sheetData>
    <row r="1" customFormat="false" ht="15" hidden="false" customHeight="false" outlineLevel="0" collapsed="false">
      <c r="A1" s="9" t="s">
        <v>196</v>
      </c>
    </row>
    <row r="2" customFormat="false" ht="15" hidden="false" customHeight="false" outlineLevel="0" collapsed="false">
      <c r="A2" s="10" t="s">
        <v>197</v>
      </c>
    </row>
    <row r="4" customFormat="false" ht="15" hidden="false" customHeight="false" outlineLevel="0" collapsed="false">
      <c r="A4" s="4" t="s">
        <v>198</v>
      </c>
      <c r="B4" s="4" t="s">
        <v>19</v>
      </c>
      <c r="C4" s="4" t="s">
        <v>20</v>
      </c>
      <c r="D4" s="4" t="s">
        <v>21</v>
      </c>
      <c r="E4" s="4" t="s">
        <v>199</v>
      </c>
    </row>
    <row r="5" customFormat="false" ht="15" hidden="false" customHeight="false" outlineLevel="0" collapsed="false">
      <c r="A5" s="11" t="s">
        <v>200</v>
      </c>
    </row>
    <row r="6" customFormat="false" ht="15" hidden="false" customHeight="false" outlineLevel="0" collapsed="false">
      <c r="A6" s="12" t="s">
        <v>201</v>
      </c>
      <c r="B6" s="12" t="s">
        <v>27</v>
      </c>
      <c r="C6" s="13" t="n">
        <v>0.02</v>
      </c>
      <c r="D6" s="12" t="s">
        <v>202</v>
      </c>
      <c r="E6" s="14" t="s">
        <v>203</v>
      </c>
    </row>
    <row r="7" customFormat="false" ht="15" hidden="false" customHeight="false" outlineLevel="0" collapsed="false">
      <c r="A7" s="12" t="s">
        <v>32</v>
      </c>
      <c r="B7" s="12" t="s">
        <v>33</v>
      </c>
      <c r="C7" s="13" t="n">
        <v>0.04</v>
      </c>
      <c r="D7" s="12" t="s">
        <v>202</v>
      </c>
      <c r="E7" s="14" t="s">
        <v>203</v>
      </c>
    </row>
    <row r="8" customFormat="false" ht="15" hidden="false" customHeight="false" outlineLevel="0" collapsed="false">
      <c r="A8" s="12" t="s">
        <v>40</v>
      </c>
      <c r="B8" s="12" t="s">
        <v>41</v>
      </c>
      <c r="C8" s="13" t="n">
        <v>0.6</v>
      </c>
      <c r="D8" s="12" t="s">
        <v>202</v>
      </c>
      <c r="E8" s="14" t="s">
        <v>203</v>
      </c>
    </row>
    <row r="9" customFormat="false" ht="15" hidden="false" customHeight="false" outlineLevel="0" collapsed="false">
      <c r="A9" s="12" t="s">
        <v>56</v>
      </c>
      <c r="B9" s="12" t="s">
        <v>204</v>
      </c>
      <c r="C9" s="13" t="n">
        <v>23.5</v>
      </c>
      <c r="D9" s="12" t="s">
        <v>58</v>
      </c>
      <c r="E9" s="14" t="s">
        <v>203</v>
      </c>
    </row>
    <row r="10" customFormat="false" ht="15" hidden="false" customHeight="false" outlineLevel="0" collapsed="false">
      <c r="A10" s="12" t="s">
        <v>61</v>
      </c>
      <c r="B10" s="12" t="s">
        <v>62</v>
      </c>
      <c r="C10" s="13" t="n">
        <v>300</v>
      </c>
      <c r="D10" s="12" t="s">
        <v>63</v>
      </c>
      <c r="E10" s="14" t="s">
        <v>203</v>
      </c>
    </row>
    <row r="11" customFormat="false" ht="15" hidden="false" customHeight="false" outlineLevel="0" collapsed="false">
      <c r="A11" s="12" t="s">
        <v>65</v>
      </c>
      <c r="B11" s="12" t="s">
        <v>66</v>
      </c>
      <c r="C11" s="13" t="n">
        <v>101325</v>
      </c>
      <c r="D11" s="12" t="s">
        <v>67</v>
      </c>
      <c r="E11" s="14" t="s">
        <v>203</v>
      </c>
    </row>
    <row r="12" customFormat="false" ht="15" hidden="false" customHeight="false" outlineLevel="0" collapsed="false">
      <c r="A12" s="12" t="s">
        <v>205</v>
      </c>
      <c r="B12" s="12" t="s">
        <v>131</v>
      </c>
      <c r="C12" s="13" t="n">
        <v>8000</v>
      </c>
      <c r="D12" s="12" t="s">
        <v>132</v>
      </c>
      <c r="E12" s="14" t="s">
        <v>203</v>
      </c>
    </row>
    <row r="13" customFormat="false" ht="15" hidden="false" customHeight="false" outlineLevel="0" collapsed="false">
      <c r="A13" s="12" t="s">
        <v>206</v>
      </c>
      <c r="B13" s="12" t="s">
        <v>207</v>
      </c>
      <c r="C13" s="13" t="n">
        <v>287.058</v>
      </c>
      <c r="D13" s="12" t="s">
        <v>72</v>
      </c>
      <c r="E13" s="14" t="s">
        <v>203</v>
      </c>
    </row>
    <row r="14" customFormat="false" ht="15" hidden="false" customHeight="false" outlineLevel="0" collapsed="false">
      <c r="A14" s="12" t="s">
        <v>208</v>
      </c>
      <c r="B14" s="12" t="s">
        <v>209</v>
      </c>
      <c r="C14" s="13" t="n">
        <v>1.4</v>
      </c>
      <c r="D14" s="12" t="s">
        <v>45</v>
      </c>
      <c r="E14" s="14" t="s">
        <v>203</v>
      </c>
    </row>
    <row r="15" customFormat="false" ht="15" hidden="false" customHeight="false" outlineLevel="0" collapsed="false">
      <c r="A15" s="12" t="s">
        <v>210</v>
      </c>
      <c r="B15" s="12" t="s">
        <v>71</v>
      </c>
      <c r="C15" s="13" t="n">
        <v>1009</v>
      </c>
      <c r="D15" s="12" t="s">
        <v>72</v>
      </c>
      <c r="E15" s="14" t="s">
        <v>203</v>
      </c>
    </row>
    <row r="16" customFormat="false" ht="15" hidden="false" customHeight="false" outlineLevel="0" collapsed="false">
      <c r="A16" s="12" t="s">
        <v>211</v>
      </c>
      <c r="B16" s="12" t="s">
        <v>77</v>
      </c>
      <c r="C16" s="13" t="n">
        <v>1.846E-005</v>
      </c>
      <c r="D16" s="12" t="s">
        <v>78</v>
      </c>
      <c r="E16" s="14" t="s">
        <v>203</v>
      </c>
    </row>
    <row r="17" customFormat="false" ht="15" hidden="false" customHeight="false" outlineLevel="0" collapsed="false">
      <c r="A17" s="12" t="s">
        <v>212</v>
      </c>
      <c r="B17" s="12" t="s">
        <v>82</v>
      </c>
      <c r="C17" s="13" t="n">
        <v>0.02624</v>
      </c>
      <c r="D17" s="12" t="s">
        <v>83</v>
      </c>
      <c r="E17" s="14" t="s">
        <v>203</v>
      </c>
    </row>
    <row r="18" customFormat="false" ht="15" hidden="false" customHeight="false" outlineLevel="0" collapsed="false">
      <c r="A18" s="12" t="s">
        <v>213</v>
      </c>
      <c r="B18" s="12" t="s">
        <v>86</v>
      </c>
      <c r="C18" s="13" t="n">
        <v>0.707</v>
      </c>
      <c r="D18" s="12" t="s">
        <v>45</v>
      </c>
      <c r="E18" s="14" t="s">
        <v>203</v>
      </c>
    </row>
    <row r="19" customFormat="false" ht="15" hidden="false" customHeight="false" outlineLevel="0" collapsed="false">
      <c r="A19" s="12" t="s">
        <v>214</v>
      </c>
      <c r="B19" s="12" t="s">
        <v>99</v>
      </c>
      <c r="C19" s="13" t="n">
        <v>15.3</v>
      </c>
      <c r="D19" s="12" t="s">
        <v>83</v>
      </c>
      <c r="E19" s="14" t="s">
        <v>203</v>
      </c>
    </row>
    <row r="20" customFormat="false" ht="15" hidden="false" customHeight="false" outlineLevel="0" collapsed="false">
      <c r="A20" s="12" t="s">
        <v>215</v>
      </c>
      <c r="B20" s="12" t="s">
        <v>106</v>
      </c>
      <c r="C20" s="13" t="n">
        <v>188500000000</v>
      </c>
      <c r="D20" s="12" t="s">
        <v>67</v>
      </c>
      <c r="E20" s="14" t="s">
        <v>203</v>
      </c>
    </row>
    <row r="21" customFormat="false" ht="15" hidden="false" customHeight="false" outlineLevel="0" collapsed="false">
      <c r="A21" s="12" t="s">
        <v>216</v>
      </c>
      <c r="B21" s="12" t="s">
        <v>112</v>
      </c>
      <c r="C21" s="13" t="n">
        <v>1.39E-005</v>
      </c>
      <c r="D21" s="12" t="s">
        <v>113</v>
      </c>
      <c r="E21" s="14" t="s">
        <v>203</v>
      </c>
    </row>
    <row r="22" customFormat="false" ht="15" hidden="false" customHeight="false" outlineLevel="0" collapsed="false">
      <c r="A22" s="12" t="s">
        <v>217</v>
      </c>
      <c r="B22" s="12" t="s">
        <v>110</v>
      </c>
      <c r="C22" s="13" t="n">
        <v>0.294</v>
      </c>
      <c r="D22" s="12" t="s">
        <v>45</v>
      </c>
      <c r="E22" s="14" t="s">
        <v>203</v>
      </c>
    </row>
    <row r="23" customFormat="false" ht="15" hidden="false" customHeight="false" outlineLevel="0" collapsed="false">
      <c r="A23" s="12" t="s">
        <v>218</v>
      </c>
      <c r="B23" s="12" t="s">
        <v>116</v>
      </c>
      <c r="C23" s="13" t="n">
        <v>1060000000</v>
      </c>
      <c r="D23" s="12" t="s">
        <v>67</v>
      </c>
      <c r="E23" s="14" t="s">
        <v>203</v>
      </c>
    </row>
    <row r="24" customFormat="false" ht="15" hidden="false" customHeight="false" outlineLevel="0" collapsed="false">
      <c r="A24" s="12" t="s">
        <v>219</v>
      </c>
      <c r="B24" s="12" t="s">
        <v>142</v>
      </c>
      <c r="C24" s="13" t="n">
        <v>300</v>
      </c>
      <c r="D24" s="12" t="s">
        <v>63</v>
      </c>
      <c r="E24" s="14" t="s">
        <v>203</v>
      </c>
    </row>
    <row r="25" customFormat="false" ht="15" hidden="false" customHeight="false" outlineLevel="0" collapsed="false">
      <c r="A25" s="12" t="s">
        <v>220</v>
      </c>
      <c r="B25" s="12" t="s">
        <v>221</v>
      </c>
      <c r="C25" s="13" t="n">
        <v>554.6</v>
      </c>
      <c r="D25" s="12" t="s">
        <v>63</v>
      </c>
      <c r="E25" s="14" t="s">
        <v>203</v>
      </c>
    </row>
    <row r="27" customFormat="false" ht="15" hidden="false" customHeight="false" outlineLevel="0" collapsed="false">
      <c r="A27" s="11" t="s">
        <v>222</v>
      </c>
    </row>
    <row r="28" customFormat="false" ht="15" hidden="false" customHeight="false" outlineLevel="0" collapsed="false">
      <c r="A28" s="7" t="s">
        <v>223</v>
      </c>
      <c r="B28" s="7" t="s">
        <v>224</v>
      </c>
      <c r="C28" s="15" t="n">
        <f aca="false">PI()*(C6/2)^2</f>
        <v>0.000314159265358979</v>
      </c>
      <c r="D28" s="7" t="s">
        <v>225</v>
      </c>
      <c r="E28" s="16" t="s">
        <v>226</v>
      </c>
    </row>
    <row r="29" customFormat="false" ht="15" hidden="false" customHeight="false" outlineLevel="0" collapsed="false">
      <c r="A29" s="7" t="s">
        <v>227</v>
      </c>
      <c r="B29" s="7" t="s">
        <v>228</v>
      </c>
      <c r="C29" s="15" t="n">
        <f aca="false">C11/(C13*C10)</f>
        <v>1.17659149022149</v>
      </c>
      <c r="D29" s="7" t="s">
        <v>95</v>
      </c>
      <c r="E29" s="16" t="s">
        <v>229</v>
      </c>
    </row>
    <row r="30" customFormat="false" ht="15" hidden="false" customHeight="false" outlineLevel="0" collapsed="false">
      <c r="A30" s="7" t="s">
        <v>230</v>
      </c>
      <c r="B30" s="7" t="s">
        <v>231</v>
      </c>
      <c r="C30" s="15" t="n">
        <f aca="false">C29*C9*C28</f>
        <v>0.00868647227759682</v>
      </c>
      <c r="D30" s="7" t="s">
        <v>232</v>
      </c>
      <c r="E30" s="16" t="s">
        <v>233</v>
      </c>
    </row>
    <row r="31" customFormat="false" ht="15" hidden="false" customHeight="false" outlineLevel="0" collapsed="false">
      <c r="A31" s="7" t="s">
        <v>234</v>
      </c>
      <c r="B31" s="7" t="s">
        <v>235</v>
      </c>
      <c r="C31" s="15" t="n">
        <f aca="false">C29*C9*C6/C16</f>
        <v>29956.5547347833</v>
      </c>
      <c r="D31" s="7" t="s">
        <v>45</v>
      </c>
      <c r="E31" s="16" t="s">
        <v>236</v>
      </c>
    </row>
    <row r="32" customFormat="false" ht="15" hidden="false" customHeight="false" outlineLevel="0" collapsed="false">
      <c r="A32" s="7" t="s">
        <v>237</v>
      </c>
      <c r="B32" s="7" t="s">
        <v>238</v>
      </c>
      <c r="C32" s="15" t="n">
        <f aca="false">C9/SQRT(C14*C13*C10)</f>
        <v>0.0676796945086258</v>
      </c>
      <c r="D32" s="7" t="s">
        <v>45</v>
      </c>
      <c r="E32" s="16" t="s">
        <v>239</v>
      </c>
    </row>
    <row r="33" customFormat="false" ht="15" hidden="false" customHeight="false" outlineLevel="0" collapsed="false">
      <c r="A33" s="7" t="s">
        <v>240</v>
      </c>
      <c r="B33" s="7" t="s">
        <v>241</v>
      </c>
      <c r="C33" s="15" t="n">
        <f aca="false">PI()*C7*C8</f>
        <v>0.075398223686155</v>
      </c>
      <c r="D33" s="7" t="s">
        <v>225</v>
      </c>
      <c r="E33" s="16" t="s">
        <v>242</v>
      </c>
    </row>
    <row r="34" customFormat="false" ht="15" hidden="false" customHeight="false" outlineLevel="0" collapsed="false">
      <c r="A34" s="7" t="s">
        <v>243</v>
      </c>
      <c r="B34" s="7" t="s">
        <v>244</v>
      </c>
      <c r="C34" s="15" t="n">
        <f aca="false">PI()*C6*C8</f>
        <v>0.0376991118430775</v>
      </c>
      <c r="D34" s="7" t="s">
        <v>225</v>
      </c>
      <c r="E34" s="16" t="s">
        <v>245</v>
      </c>
    </row>
    <row r="35" customFormat="false" ht="15" hidden="false" customHeight="false" outlineLevel="0" collapsed="false">
      <c r="A35" s="7" t="s">
        <v>246</v>
      </c>
      <c r="B35" s="7" t="s">
        <v>247</v>
      </c>
      <c r="C35" s="15" t="n">
        <f aca="false">C12*C33</f>
        <v>603.18578948924</v>
      </c>
      <c r="D35" s="7" t="s">
        <v>248</v>
      </c>
      <c r="E35" s="16" t="s">
        <v>249</v>
      </c>
    </row>
    <row r="36" customFormat="false" ht="15" hidden="false" customHeight="false" outlineLevel="0" collapsed="false">
      <c r="A36" s="7" t="s">
        <v>250</v>
      </c>
      <c r="B36" s="7" t="s">
        <v>251</v>
      </c>
      <c r="C36" s="15" t="n">
        <f aca="false">C35/C34</f>
        <v>16000</v>
      </c>
      <c r="D36" s="7" t="s">
        <v>132</v>
      </c>
      <c r="E36" s="16" t="s">
        <v>252</v>
      </c>
    </row>
    <row r="37" customFormat="false" ht="15" hidden="false" customHeight="false" outlineLevel="0" collapsed="false">
      <c r="A37" s="7" t="s">
        <v>253</v>
      </c>
      <c r="B37" s="7" t="s">
        <v>254</v>
      </c>
      <c r="C37" s="15" t="n">
        <f aca="false">C35/C8</f>
        <v>1005.30964914873</v>
      </c>
      <c r="D37" s="7" t="s">
        <v>255</v>
      </c>
      <c r="E37" s="16" t="s">
        <v>256</v>
      </c>
    </row>
    <row r="38" customFormat="false" ht="15" hidden="false" customHeight="false" outlineLevel="0" collapsed="false">
      <c r="A38" s="7" t="s">
        <v>257</v>
      </c>
      <c r="B38" s="7" t="s">
        <v>258</v>
      </c>
      <c r="C38" s="15" t="n">
        <f aca="false">C35/(C30*C15)</f>
        <v>68.8202898171149</v>
      </c>
      <c r="D38" s="7" t="s">
        <v>63</v>
      </c>
      <c r="E38" s="16" t="s">
        <v>259</v>
      </c>
    </row>
    <row r="39" customFormat="false" ht="15" hidden="false" customHeight="false" outlineLevel="0" collapsed="false">
      <c r="A39" s="7" t="s">
        <v>260</v>
      </c>
      <c r="B39" s="7" t="s">
        <v>261</v>
      </c>
      <c r="C39" s="15" t="n">
        <f aca="false">C10+C38</f>
        <v>368.820289817115</v>
      </c>
      <c r="D39" s="7" t="s">
        <v>63</v>
      </c>
      <c r="E39" s="16" t="s">
        <v>262</v>
      </c>
    </row>
    <row r="40" customFormat="false" ht="15" hidden="false" customHeight="false" outlineLevel="0" collapsed="false">
      <c r="A40" s="7" t="s">
        <v>263</v>
      </c>
      <c r="B40" s="7" t="s">
        <v>264</v>
      </c>
      <c r="C40" s="15" t="n">
        <f aca="false">1/(0.79*LN(C31)-1.64)^2</f>
        <v>0.0236473319092919</v>
      </c>
      <c r="D40" s="7" t="s">
        <v>45</v>
      </c>
      <c r="E40" s="16" t="s">
        <v>265</v>
      </c>
    </row>
    <row r="41" customFormat="false" ht="15" hidden="false" customHeight="false" outlineLevel="0" collapsed="false">
      <c r="A41" s="7" t="s">
        <v>266</v>
      </c>
      <c r="B41" s="7" t="s">
        <v>267</v>
      </c>
      <c r="C41" s="15" t="n">
        <f aca="false">0.023*C31^0.8*C18^0.4</f>
        <v>76.3289156878696</v>
      </c>
      <c r="D41" s="7" t="s">
        <v>45</v>
      </c>
      <c r="E41" s="16" t="s">
        <v>268</v>
      </c>
    </row>
    <row r="42" customFormat="false" ht="15" hidden="false" customHeight="false" outlineLevel="0" collapsed="false">
      <c r="A42" s="7" t="s">
        <v>269</v>
      </c>
      <c r="B42" s="7" t="s">
        <v>270</v>
      </c>
      <c r="C42" s="15" t="n">
        <f aca="false">((C40/8)*(C31-1000)*C18)/(1+12.7*SQRT(C40/8)*(C18^(2/3)-1))</f>
        <v>70.5707185952893</v>
      </c>
      <c r="D42" s="7" t="s">
        <v>45</v>
      </c>
      <c r="E42" s="16" t="s">
        <v>271</v>
      </c>
    </row>
    <row r="43" customFormat="false" ht="15" hidden="false" customHeight="false" outlineLevel="0" collapsed="false">
      <c r="A43" s="7" t="s">
        <v>272</v>
      </c>
      <c r="B43" s="7" t="s">
        <v>273</v>
      </c>
      <c r="C43" s="15" t="n">
        <f aca="false">C42*C17/C6</f>
        <v>92.5887827970195</v>
      </c>
      <c r="D43" s="7" t="s">
        <v>274</v>
      </c>
      <c r="E43" s="16" t="s">
        <v>275</v>
      </c>
    </row>
    <row r="44" customFormat="false" ht="15" hidden="false" customHeight="false" outlineLevel="0" collapsed="false">
      <c r="A44" s="7" t="s">
        <v>276</v>
      </c>
      <c r="B44" s="7" t="s">
        <v>277</v>
      </c>
      <c r="C44" s="15" t="n">
        <f aca="false">C36/C43</f>
        <v>172.807110285449</v>
      </c>
      <c r="D44" s="7" t="s">
        <v>63</v>
      </c>
      <c r="E44" s="16" t="s">
        <v>278</v>
      </c>
    </row>
    <row r="45" customFormat="false" ht="15" hidden="false" customHeight="false" outlineLevel="0" collapsed="false">
      <c r="A45" s="7" t="s">
        <v>279</v>
      </c>
      <c r="B45" s="7" t="s">
        <v>280</v>
      </c>
      <c r="C45" s="15" t="n">
        <f aca="false">C37*LN((C7/2)/(C6/2))/(2*PI()*C19)</f>
        <v>7.24859796663995</v>
      </c>
      <c r="D45" s="7" t="s">
        <v>63</v>
      </c>
      <c r="E45" s="16" t="s">
        <v>281</v>
      </c>
    </row>
    <row r="46" customFormat="false" ht="15" hidden="false" customHeight="false" outlineLevel="0" collapsed="false">
      <c r="A46" s="7" t="s">
        <v>282</v>
      </c>
      <c r="B46" s="7" t="s">
        <v>283</v>
      </c>
      <c r="C46" s="15" t="n">
        <f aca="false">C39+C44</f>
        <v>541.627400102564</v>
      </c>
      <c r="D46" s="7" t="s">
        <v>63</v>
      </c>
      <c r="E46" s="16" t="s">
        <v>284</v>
      </c>
    </row>
    <row r="47" customFormat="false" ht="15" hidden="false" customHeight="false" outlineLevel="0" collapsed="false">
      <c r="A47" s="7" t="s">
        <v>285</v>
      </c>
      <c r="B47" s="7" t="s">
        <v>286</v>
      </c>
      <c r="C47" s="15" t="n">
        <f aca="false">C46+C45</f>
        <v>548.875998069203</v>
      </c>
      <c r="D47" s="7" t="s">
        <v>63</v>
      </c>
      <c r="E47" s="16" t="s">
        <v>287</v>
      </c>
    </row>
    <row r="48" customFormat="false" ht="15" hidden="false" customHeight="false" outlineLevel="0" collapsed="false">
      <c r="A48" s="7" t="s">
        <v>288</v>
      </c>
      <c r="B48" s="7" t="s">
        <v>289</v>
      </c>
      <c r="C48" s="15" t="n">
        <f aca="false">C40/8*C29*C9^2</f>
        <v>1.92067369141979</v>
      </c>
      <c r="D48" s="7" t="s">
        <v>67</v>
      </c>
      <c r="E48" s="16" t="s">
        <v>290</v>
      </c>
    </row>
    <row r="49" customFormat="false" ht="15" hidden="false" customHeight="false" outlineLevel="0" collapsed="false">
      <c r="A49" s="7" t="s">
        <v>291</v>
      </c>
      <c r="B49" s="7" t="s">
        <v>292</v>
      </c>
      <c r="C49" s="15" t="n">
        <f aca="false">SQRT(C48/C29)</f>
        <v>1.27765601038124</v>
      </c>
      <c r="D49" s="7" t="s">
        <v>58</v>
      </c>
      <c r="E49" s="16" t="s">
        <v>293</v>
      </c>
    </row>
    <row r="50" customFormat="false" ht="15" hidden="false" customHeight="false" outlineLevel="0" collapsed="false">
      <c r="A50" s="7" t="s">
        <v>294</v>
      </c>
      <c r="B50" s="7" t="s">
        <v>165</v>
      </c>
      <c r="C50" s="17" t="n">
        <f aca="false">(C16/C29)/C49</f>
        <v>1.22798214277632E-005</v>
      </c>
      <c r="D50" s="7" t="s">
        <v>202</v>
      </c>
      <c r="E50" s="16" t="s">
        <v>295</v>
      </c>
    </row>
    <row r="51" customFormat="false" ht="15" hidden="false" customHeight="false" outlineLevel="0" collapsed="false">
      <c r="A51" s="7" t="s">
        <v>296</v>
      </c>
      <c r="B51" s="7" t="s">
        <v>297</v>
      </c>
      <c r="C51" s="15" t="n">
        <f aca="false">1.359*C6*C31^0.25</f>
        <v>0.357579340007581</v>
      </c>
      <c r="D51" s="7" t="s">
        <v>202</v>
      </c>
      <c r="E51" s="16" t="s">
        <v>298</v>
      </c>
    </row>
    <row r="52" customFormat="false" ht="15" hidden="false" customHeight="false" outlineLevel="0" collapsed="false">
      <c r="A52" s="7" t="s">
        <v>299</v>
      </c>
      <c r="B52" s="7" t="s">
        <v>300</v>
      </c>
      <c r="C52" s="15" t="n">
        <f aca="false">C21*C20*C45/(2*(1-C22))</f>
        <v>13450718.103606</v>
      </c>
      <c r="D52" s="7" t="s">
        <v>67</v>
      </c>
      <c r="E52" s="16" t="s">
        <v>301</v>
      </c>
    </row>
    <row r="53" customFormat="false" ht="15" hidden="false" customHeight="false" outlineLevel="0" collapsed="false">
      <c r="A53" s="7" t="s">
        <v>302</v>
      </c>
      <c r="B53" s="7" t="s">
        <v>303</v>
      </c>
      <c r="C53" s="15" t="n">
        <f aca="false">-C20*C21*(C25-C24)</f>
        <v>-667090190</v>
      </c>
      <c r="D53" s="7" t="s">
        <v>67</v>
      </c>
      <c r="E53" s="16" t="s">
        <v>304</v>
      </c>
    </row>
    <row r="54" customFormat="false" ht="15" hidden="false" customHeight="false" outlineLevel="0" collapsed="false">
      <c r="A54" s="7" t="s">
        <v>305</v>
      </c>
      <c r="B54" s="7" t="s">
        <v>306</v>
      </c>
      <c r="C54" s="15" t="n">
        <f aca="false">ABS(C53)/C23</f>
        <v>0.629330367924528</v>
      </c>
      <c r="D54" s="7" t="s">
        <v>45</v>
      </c>
      <c r="E54" s="16" t="s">
        <v>307</v>
      </c>
    </row>
    <row r="55" customFormat="false" ht="15" hidden="false" customHeight="false" outlineLevel="0" collapsed="false">
      <c r="A55" s="7" t="s">
        <v>308</v>
      </c>
      <c r="B55" s="7" t="s">
        <v>309</v>
      </c>
      <c r="C55" s="15" t="n">
        <f aca="false">C23/ABS(C53)-1</f>
        <v>0.588990538145974</v>
      </c>
      <c r="D55" s="7" t="s">
        <v>45</v>
      </c>
      <c r="E55" s="16" t="s">
        <v>310</v>
      </c>
    </row>
    <row r="56" customFormat="false" ht="15" hidden="false" customHeight="false" outlineLevel="0" collapsed="false">
      <c r="A56" s="7" t="s">
        <v>311</v>
      </c>
      <c r="B56" s="7" t="s">
        <v>312</v>
      </c>
      <c r="C56" s="15" t="n">
        <f aca="false">C21*(C25-C24)*(C6/2)</f>
        <v>3.53894E-005</v>
      </c>
      <c r="D56" s="7" t="s">
        <v>202</v>
      </c>
      <c r="E56" s="16" t="s">
        <v>313</v>
      </c>
    </row>
    <row r="57" customFormat="false" ht="15" hidden="false" customHeight="false" outlineLevel="0" collapsed="false">
      <c r="A57" s="7" t="s">
        <v>314</v>
      </c>
      <c r="B57" s="7" t="s">
        <v>315</v>
      </c>
      <c r="C57" s="15" t="n">
        <f aca="false">((C6/2+C56)^2-(C6/2)^2)/(C6/2)^2*100</f>
        <v>0.709040409632369</v>
      </c>
      <c r="D57" s="7" t="s">
        <v>124</v>
      </c>
      <c r="E57" s="16" t="s">
        <v>316</v>
      </c>
    </row>
    <row r="59" customFormat="false" ht="15" hidden="false" customHeight="false" outlineLevel="0" collapsed="false">
      <c r="A59" s="11" t="s">
        <v>317</v>
      </c>
    </row>
    <row r="60" customFormat="false" ht="15" hidden="false" customHeight="false" outlineLevel="0" collapsed="false">
      <c r="A60" s="18" t="s">
        <v>198</v>
      </c>
      <c r="B60" s="18" t="s">
        <v>318</v>
      </c>
      <c r="C60" s="18" t="s">
        <v>319</v>
      </c>
      <c r="D60" s="18" t="s">
        <v>21</v>
      </c>
      <c r="E60" s="18" t="s">
        <v>320</v>
      </c>
    </row>
    <row r="61" customFormat="false" ht="22.35" hidden="false" customHeight="false" outlineLevel="0" collapsed="false">
      <c r="A61" s="19" t="s">
        <v>321</v>
      </c>
      <c r="B61" s="19" t="s">
        <v>322</v>
      </c>
      <c r="C61" s="19" t="s">
        <v>323</v>
      </c>
      <c r="D61" s="19" t="s">
        <v>45</v>
      </c>
      <c r="E61" s="19" t="s">
        <v>324</v>
      </c>
    </row>
    <row r="62" customFormat="false" ht="22.35" hidden="false" customHeight="false" outlineLevel="0" collapsed="false">
      <c r="A62" s="19" t="s">
        <v>325</v>
      </c>
      <c r="B62" s="19" t="s">
        <v>326</v>
      </c>
      <c r="C62" s="19" t="s">
        <v>327</v>
      </c>
      <c r="D62" s="19" t="s">
        <v>45</v>
      </c>
      <c r="E62" s="19" t="s">
        <v>328</v>
      </c>
    </row>
    <row r="63" customFormat="false" ht="22.35" hidden="false" customHeight="false" outlineLevel="0" collapsed="false">
      <c r="A63" s="19" t="s">
        <v>329</v>
      </c>
      <c r="B63" s="19" t="s">
        <v>330</v>
      </c>
      <c r="C63" s="19" t="s">
        <v>331</v>
      </c>
      <c r="D63" s="19" t="s">
        <v>274</v>
      </c>
      <c r="E63" s="19" t="s">
        <v>332</v>
      </c>
    </row>
    <row r="64" customFormat="false" ht="22.35" hidden="false" customHeight="false" outlineLevel="0" collapsed="false">
      <c r="A64" s="19" t="s">
        <v>333</v>
      </c>
      <c r="B64" s="19" t="s">
        <v>334</v>
      </c>
      <c r="C64" s="19" t="s">
        <v>335</v>
      </c>
      <c r="D64" s="19" t="s">
        <v>63</v>
      </c>
      <c r="E64" s="19" t="s">
        <v>336</v>
      </c>
    </row>
    <row r="65" customFormat="false" ht="22.35" hidden="false" customHeight="false" outlineLevel="0" collapsed="false">
      <c r="A65" s="19" t="s">
        <v>337</v>
      </c>
      <c r="B65" s="19" t="s">
        <v>338</v>
      </c>
      <c r="C65" s="19" t="s">
        <v>339</v>
      </c>
      <c r="D65" s="19" t="s">
        <v>63</v>
      </c>
      <c r="E65" s="19" t="s">
        <v>340</v>
      </c>
    </row>
    <row r="66" customFormat="false" ht="22.35" hidden="false" customHeight="false" outlineLevel="0" collapsed="false">
      <c r="A66" s="19" t="s">
        <v>341</v>
      </c>
      <c r="B66" s="19" t="s">
        <v>342</v>
      </c>
      <c r="C66" s="19" t="s">
        <v>343</v>
      </c>
      <c r="D66" s="19" t="s">
        <v>344</v>
      </c>
      <c r="E66" s="19" t="s">
        <v>345</v>
      </c>
    </row>
    <row r="67" customFormat="false" ht="22.35" hidden="false" customHeight="false" outlineLevel="0" collapsed="false">
      <c r="A67" s="19" t="s">
        <v>346</v>
      </c>
      <c r="B67" s="19" t="s">
        <v>347</v>
      </c>
      <c r="C67" s="19" t="s">
        <v>348</v>
      </c>
      <c r="D67" s="19" t="s">
        <v>344</v>
      </c>
      <c r="E67" s="19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9" t="s">
        <v>350</v>
      </c>
    </row>
    <row r="2" customFormat="false" ht="15" hidden="false" customHeight="false" outlineLevel="0" collapsed="false">
      <c r="A2" s="10" t="s">
        <v>351</v>
      </c>
    </row>
    <row r="4" customFormat="false" ht="15" hidden="false" customHeight="false" outlineLevel="0" collapsed="false">
      <c r="A4" s="4" t="s">
        <v>352</v>
      </c>
      <c r="B4" s="4" t="s">
        <v>353</v>
      </c>
      <c r="C4" s="4" t="s">
        <v>21</v>
      </c>
      <c r="D4" s="4" t="s">
        <v>354</v>
      </c>
      <c r="E4" s="4" t="s">
        <v>355</v>
      </c>
    </row>
    <row r="5" customFormat="false" ht="23.85" hidden="false" customHeight="false" outlineLevel="0" collapsed="false">
      <c r="A5" s="7" t="s">
        <v>356</v>
      </c>
      <c r="B5" s="7" t="s">
        <v>357</v>
      </c>
      <c r="C5" s="7" t="s">
        <v>248</v>
      </c>
      <c r="D5" s="7" t="s">
        <v>358</v>
      </c>
      <c r="E5" s="7" t="s">
        <v>359</v>
      </c>
    </row>
    <row r="6" customFormat="false" ht="23.85" hidden="false" customHeight="false" outlineLevel="0" collapsed="false">
      <c r="A6" s="7" t="s">
        <v>260</v>
      </c>
      <c r="B6" s="7" t="s">
        <v>360</v>
      </c>
      <c r="C6" s="7" t="s">
        <v>63</v>
      </c>
      <c r="D6" s="7" t="s">
        <v>361</v>
      </c>
      <c r="E6" s="7" t="s">
        <v>362</v>
      </c>
    </row>
    <row r="7" customFormat="false" ht="23.85" hidden="false" customHeight="false" outlineLevel="0" collapsed="false">
      <c r="A7" s="7" t="s">
        <v>363</v>
      </c>
      <c r="B7" s="7" t="s">
        <v>364</v>
      </c>
      <c r="C7" s="7" t="s">
        <v>45</v>
      </c>
      <c r="D7" s="7" t="s">
        <v>365</v>
      </c>
      <c r="E7" s="7" t="s">
        <v>366</v>
      </c>
    </row>
    <row r="8" customFormat="false" ht="23.85" hidden="false" customHeight="false" outlineLevel="0" collapsed="false">
      <c r="A8" s="7" t="s">
        <v>263</v>
      </c>
      <c r="B8" s="7" t="s">
        <v>367</v>
      </c>
      <c r="C8" s="7" t="s">
        <v>45</v>
      </c>
      <c r="D8" s="7" t="s">
        <v>368</v>
      </c>
      <c r="E8" s="7" t="s">
        <v>369</v>
      </c>
    </row>
    <row r="9" customFormat="false" ht="15" hidden="false" customHeight="false" outlineLevel="0" collapsed="false">
      <c r="A9" s="7" t="s">
        <v>370</v>
      </c>
      <c r="B9" s="7" t="s">
        <v>371</v>
      </c>
      <c r="C9" s="7" t="s">
        <v>67</v>
      </c>
      <c r="D9" s="7" t="s">
        <v>372</v>
      </c>
      <c r="E9" s="7" t="s">
        <v>373</v>
      </c>
    </row>
    <row r="10" customFormat="false" ht="23.85" hidden="false" customHeight="false" outlineLevel="0" collapsed="false">
      <c r="A10" s="7" t="s">
        <v>374</v>
      </c>
      <c r="B10" s="7" t="s">
        <v>375</v>
      </c>
      <c r="C10" s="7" t="s">
        <v>63</v>
      </c>
      <c r="D10" s="7" t="s">
        <v>376</v>
      </c>
      <c r="E10" s="7" t="s">
        <v>377</v>
      </c>
    </row>
    <row r="11" customFormat="false" ht="15" hidden="false" customHeight="false" outlineLevel="0" collapsed="false">
      <c r="A11" s="7" t="s">
        <v>378</v>
      </c>
      <c r="B11" s="7" t="s">
        <v>379</v>
      </c>
      <c r="C11" s="7" t="s">
        <v>63</v>
      </c>
      <c r="D11" s="7" t="s">
        <v>368</v>
      </c>
      <c r="E11" s="7" t="s">
        <v>380</v>
      </c>
    </row>
    <row r="12" customFormat="false" ht="23.85" hidden="false" customHeight="false" outlineLevel="0" collapsed="false">
      <c r="A12" s="7" t="s">
        <v>381</v>
      </c>
      <c r="B12" s="7" t="s">
        <v>382</v>
      </c>
      <c r="C12" s="7" t="s">
        <v>45</v>
      </c>
      <c r="D12" s="7" t="s">
        <v>383</v>
      </c>
      <c r="E12" s="7" t="s">
        <v>384</v>
      </c>
    </row>
    <row r="13" customFormat="false" ht="15" hidden="false" customHeight="false" outlineLevel="0" collapsed="false">
      <c r="A13" s="7" t="s">
        <v>385</v>
      </c>
      <c r="B13" s="7" t="s">
        <v>386</v>
      </c>
      <c r="C13" s="7" t="s">
        <v>344</v>
      </c>
      <c r="D13" s="7" t="s">
        <v>387</v>
      </c>
      <c r="E13" s="7" t="s">
        <v>388</v>
      </c>
    </row>
    <row r="14" customFormat="false" ht="15" hidden="false" customHeight="false" outlineLevel="0" collapsed="false">
      <c r="A14" s="7" t="s">
        <v>346</v>
      </c>
      <c r="B14" s="7" t="s">
        <v>389</v>
      </c>
      <c r="C14" s="7" t="s">
        <v>344</v>
      </c>
      <c r="D14" s="7" t="s">
        <v>390</v>
      </c>
      <c r="E14" s="7" t="s">
        <v>391</v>
      </c>
    </row>
    <row r="15" customFormat="false" ht="15" hidden="false" customHeight="false" outlineLevel="0" collapsed="false">
      <c r="A15" s="7" t="s">
        <v>392</v>
      </c>
      <c r="B15" s="7" t="s">
        <v>393</v>
      </c>
      <c r="C15" s="7" t="s">
        <v>45</v>
      </c>
      <c r="D15" s="7" t="s">
        <v>394</v>
      </c>
      <c r="E15" s="7" t="s">
        <v>395</v>
      </c>
    </row>
    <row r="16" customFormat="false" ht="15" hidden="false" customHeight="false" outlineLevel="0" collapsed="false">
      <c r="A16" s="7" t="s">
        <v>308</v>
      </c>
      <c r="B16" s="7" t="s">
        <v>396</v>
      </c>
      <c r="C16" s="7" t="s">
        <v>45</v>
      </c>
      <c r="D16" s="7" t="s">
        <v>397</v>
      </c>
      <c r="E16" s="7" t="s">
        <v>398</v>
      </c>
    </row>
    <row r="17" customFormat="false" ht="15" hidden="false" customHeight="false" outlineLevel="0" collapsed="false">
      <c r="A17" s="7" t="s">
        <v>399</v>
      </c>
      <c r="B17" s="7" t="s">
        <v>400</v>
      </c>
      <c r="C17" s="7" t="s">
        <v>45</v>
      </c>
      <c r="D17" s="7" t="s">
        <v>401</v>
      </c>
      <c r="E17" s="7" t="s">
        <v>402</v>
      </c>
    </row>
    <row r="18" customFormat="false" ht="15" hidden="false" customHeight="false" outlineLevel="0" collapsed="false">
      <c r="A18" s="7" t="s">
        <v>403</v>
      </c>
      <c r="B18" s="7" t="s">
        <v>404</v>
      </c>
      <c r="C18" s="7" t="s">
        <v>45</v>
      </c>
      <c r="D18" s="7" t="s">
        <v>405</v>
      </c>
      <c r="E18" s="7" t="s">
        <v>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2026-09-18T09:01:48Z</dcterms:created>
  <dc:creator>openpyxl</dc:creator>
  <dc:description/>
  <dc:language>en-US</dc:language>
  <cp:lastModifiedBy/>
  <dcterms:modified xsi:type="dcterms:W3CDTF">2026-09-18T09:01:48Z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